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edia01C/Desktop/"/>
    </mc:Choice>
  </mc:AlternateContent>
  <xr:revisionPtr revIDLastSave="0" documentId="8_{5013E8CE-1DEB-8B49-8B66-990272BD061B}" xr6:coauthVersionLast="47" xr6:coauthVersionMax="47" xr10:uidLastSave="{00000000-0000-0000-0000-000000000000}"/>
  <bookViews>
    <workbookView xWindow="0" yWindow="500" windowWidth="44320" windowHeight="29880" tabRatio="500" xr2:uid="{00000000-000D-0000-FFFF-FFFF00000000}"/>
  </bookViews>
  <sheets>
    <sheet name="Sheet1 (3)" sheetId="4" r:id="rId1"/>
    <sheet name="Sheet1" sheetId="1" r:id="rId2"/>
    <sheet name="離反割合バンド" sheetId="2" r:id="rId3"/>
    <sheet name="Sheet1 (2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4" l="1"/>
  <c r="D22" i="4"/>
  <c r="C22" i="4"/>
  <c r="R19" i="3"/>
  <c r="P19" i="3"/>
  <c r="N19" i="3"/>
  <c r="L19" i="3"/>
  <c r="J19" i="3"/>
  <c r="H19" i="3"/>
  <c r="F19" i="3"/>
  <c r="D19" i="3"/>
  <c r="R18" i="3"/>
  <c r="P18" i="3"/>
  <c r="N18" i="3"/>
  <c r="L18" i="3"/>
  <c r="J18" i="3"/>
  <c r="H18" i="3"/>
  <c r="F18" i="3"/>
  <c r="D18" i="3"/>
  <c r="R17" i="3"/>
  <c r="P17" i="3"/>
  <c r="N17" i="3"/>
  <c r="L17" i="3"/>
  <c r="J17" i="3"/>
  <c r="H17" i="3"/>
  <c r="F17" i="3"/>
  <c r="D17" i="3"/>
  <c r="R16" i="3"/>
  <c r="P16" i="3"/>
  <c r="N16" i="3"/>
  <c r="L16" i="3"/>
  <c r="J16" i="3"/>
  <c r="H16" i="3"/>
  <c r="F16" i="3"/>
  <c r="D16" i="3"/>
  <c r="R15" i="3"/>
  <c r="P15" i="3"/>
  <c r="N15" i="3"/>
  <c r="L15" i="3"/>
  <c r="J15" i="3"/>
  <c r="H15" i="3"/>
  <c r="F15" i="3"/>
  <c r="D15" i="3"/>
  <c r="R14" i="3"/>
  <c r="P14" i="3"/>
  <c r="N14" i="3"/>
  <c r="L14" i="3"/>
  <c r="J14" i="3"/>
  <c r="H14" i="3"/>
  <c r="F14" i="3"/>
  <c r="D14" i="3"/>
  <c r="R7" i="3"/>
  <c r="P7" i="3"/>
  <c r="N7" i="3"/>
  <c r="L7" i="3"/>
  <c r="J7" i="3"/>
  <c r="H7" i="3"/>
  <c r="F7" i="3"/>
  <c r="D7" i="3"/>
  <c r="R6" i="3"/>
  <c r="P6" i="3"/>
  <c r="N6" i="3"/>
  <c r="L6" i="3"/>
  <c r="J6" i="3"/>
  <c r="H6" i="3"/>
  <c r="F6" i="3"/>
  <c r="D6" i="3"/>
  <c r="R5" i="3"/>
  <c r="P5" i="3"/>
  <c r="N5" i="3"/>
  <c r="L5" i="3"/>
  <c r="J5" i="3"/>
  <c r="H5" i="3"/>
  <c r="F5" i="3"/>
  <c r="D5" i="3"/>
  <c r="R4" i="3"/>
  <c r="P4" i="3"/>
  <c r="N4" i="3"/>
  <c r="L4" i="3"/>
  <c r="J4" i="3"/>
  <c r="H4" i="3"/>
  <c r="F4" i="3"/>
  <c r="D4" i="3"/>
  <c r="R3" i="3"/>
  <c r="P3" i="3"/>
  <c r="N3" i="3"/>
  <c r="L3" i="3"/>
  <c r="J3" i="3"/>
  <c r="H3" i="3"/>
  <c r="F3" i="3"/>
  <c r="D3" i="3"/>
  <c r="R2" i="3"/>
  <c r="P2" i="3"/>
  <c r="N2" i="3"/>
  <c r="L2" i="3"/>
  <c r="J2" i="3"/>
  <c r="H2" i="3"/>
  <c r="F2" i="3"/>
  <c r="D2" i="3"/>
  <c r="H24" i="2"/>
  <c r="H23" i="2"/>
  <c r="H22" i="2"/>
  <c r="H21" i="2"/>
  <c r="H20" i="2"/>
  <c r="G20" i="2"/>
  <c r="D52" i="1"/>
  <c r="E52" i="1" s="1"/>
  <c r="C52" i="1"/>
  <c r="R18" i="1"/>
  <c r="P18" i="1"/>
  <c r="N18" i="1"/>
  <c r="L18" i="1"/>
  <c r="D58" i="1" s="1"/>
  <c r="J18" i="1"/>
  <c r="H18" i="1"/>
  <c r="F18" i="1"/>
  <c r="D18" i="1"/>
  <c r="R17" i="1"/>
  <c r="P17" i="1"/>
  <c r="N17" i="1"/>
  <c r="L17" i="1"/>
  <c r="J17" i="1"/>
  <c r="H17" i="1"/>
  <c r="F17" i="1"/>
  <c r="D17" i="1"/>
  <c r="R16" i="1"/>
  <c r="P16" i="1"/>
  <c r="N16" i="1"/>
  <c r="L16" i="1"/>
  <c r="J16" i="1"/>
  <c r="H16" i="1"/>
  <c r="F16" i="1"/>
  <c r="D16" i="1"/>
  <c r="R15" i="1"/>
  <c r="P15" i="1"/>
  <c r="N15" i="1"/>
  <c r="L15" i="1"/>
  <c r="J15" i="1"/>
  <c r="H15" i="1"/>
  <c r="F15" i="1"/>
  <c r="D15" i="1"/>
  <c r="R14" i="1"/>
  <c r="P14" i="1"/>
  <c r="N14" i="1"/>
  <c r="L14" i="1"/>
  <c r="D54" i="1" s="1"/>
  <c r="J14" i="1"/>
  <c r="H14" i="1"/>
  <c r="F14" i="1"/>
  <c r="D14" i="1"/>
  <c r="R13" i="1"/>
  <c r="P13" i="1"/>
  <c r="N13" i="1"/>
  <c r="L13" i="1"/>
  <c r="J13" i="1"/>
  <c r="H13" i="1"/>
  <c r="F13" i="1"/>
  <c r="D13" i="1"/>
  <c r="R8" i="1"/>
  <c r="I25" i="2" s="1"/>
  <c r="P8" i="1"/>
  <c r="H25" i="2" s="1"/>
  <c r="N8" i="1"/>
  <c r="G25" i="2" s="1"/>
  <c r="L8" i="1"/>
  <c r="F25" i="2" s="1"/>
  <c r="J8" i="1"/>
  <c r="E25" i="2" s="1"/>
  <c r="H8" i="1"/>
  <c r="D25" i="2" s="1"/>
  <c r="F8" i="1"/>
  <c r="C25" i="2" s="1"/>
  <c r="D8" i="1"/>
  <c r="R7" i="1"/>
  <c r="I24" i="2" s="1"/>
  <c r="P7" i="1"/>
  <c r="N7" i="1"/>
  <c r="G24" i="2" s="1"/>
  <c r="L7" i="1"/>
  <c r="F24" i="2" s="1"/>
  <c r="J7" i="1"/>
  <c r="E24" i="2" s="1"/>
  <c r="H7" i="1"/>
  <c r="D24" i="2" s="1"/>
  <c r="F7" i="1"/>
  <c r="C24" i="2" s="1"/>
  <c r="D7" i="1"/>
  <c r="R6" i="1"/>
  <c r="I23" i="2" s="1"/>
  <c r="P6" i="1"/>
  <c r="N6" i="1"/>
  <c r="G23" i="2" s="1"/>
  <c r="L6" i="1"/>
  <c r="F23" i="2" s="1"/>
  <c r="J6" i="1"/>
  <c r="E23" i="2" s="1"/>
  <c r="H6" i="1"/>
  <c r="D23" i="2" s="1"/>
  <c r="F6" i="1"/>
  <c r="C23" i="2" s="1"/>
  <c r="D6" i="1"/>
  <c r="R5" i="1"/>
  <c r="I22" i="2" s="1"/>
  <c r="P5" i="1"/>
  <c r="N5" i="1"/>
  <c r="G22" i="2" s="1"/>
  <c r="L5" i="1"/>
  <c r="F22" i="2" s="1"/>
  <c r="J5" i="1"/>
  <c r="E22" i="2" s="1"/>
  <c r="H5" i="1"/>
  <c r="D22" i="2" s="1"/>
  <c r="F5" i="1"/>
  <c r="C22" i="2" s="1"/>
  <c r="D5" i="1"/>
  <c r="R4" i="1"/>
  <c r="I21" i="2" s="1"/>
  <c r="P4" i="1"/>
  <c r="N4" i="1"/>
  <c r="G21" i="2" s="1"/>
  <c r="L4" i="1"/>
  <c r="F21" i="2" s="1"/>
  <c r="J4" i="1"/>
  <c r="E21" i="2" s="1"/>
  <c r="H4" i="1"/>
  <c r="D21" i="2" s="1"/>
  <c r="F4" i="1"/>
  <c r="C21" i="2" s="1"/>
  <c r="D4" i="1"/>
  <c r="R3" i="1"/>
  <c r="I20" i="2" s="1"/>
  <c r="P3" i="1"/>
  <c r="N3" i="1"/>
  <c r="L3" i="1"/>
  <c r="F20" i="2" s="1"/>
  <c r="J3" i="1"/>
  <c r="E20" i="2" s="1"/>
  <c r="H3" i="1"/>
  <c r="D20" i="2" s="1"/>
  <c r="F3" i="1"/>
  <c r="C20" i="2" s="1"/>
  <c r="D3" i="1"/>
  <c r="E22" i="4" l="1"/>
  <c r="C25" i="4"/>
  <c r="C28" i="4"/>
  <c r="E28" i="4" s="1"/>
  <c r="H38" i="4" s="1"/>
  <c r="D27" i="4"/>
  <c r="D26" i="4"/>
  <c r="C26" i="4"/>
  <c r="D25" i="4"/>
  <c r="C24" i="4"/>
  <c r="E24" i="4" s="1"/>
  <c r="H34" i="4" s="1"/>
  <c r="D23" i="4"/>
  <c r="C23" i="4"/>
  <c r="C27" i="4"/>
  <c r="D24" i="4"/>
  <c r="AF38" i="4"/>
  <c r="AB38" i="4"/>
  <c r="X38" i="4"/>
  <c r="T38" i="4"/>
  <c r="P38" i="4"/>
  <c r="AA38" i="4"/>
  <c r="W38" i="4"/>
  <c r="S38" i="4"/>
  <c r="O38" i="4"/>
  <c r="K38" i="4"/>
  <c r="G38" i="4"/>
  <c r="C38" i="4"/>
  <c r="AD38" i="4"/>
  <c r="Z38" i="4"/>
  <c r="V38" i="4"/>
  <c r="N38" i="4"/>
  <c r="F38" i="4"/>
  <c r="I38" i="4"/>
  <c r="B20" i="2"/>
  <c r="C53" i="1"/>
  <c r="B21" i="2"/>
  <c r="C54" i="1"/>
  <c r="E54" i="1" s="1"/>
  <c r="B22" i="2"/>
  <c r="C55" i="1"/>
  <c r="C56" i="1"/>
  <c r="E56" i="1" s="1"/>
  <c r="B23" i="2"/>
  <c r="B24" i="2"/>
  <c r="C57" i="1"/>
  <c r="B25" i="2"/>
  <c r="C58" i="1"/>
  <c r="E58" i="1" s="1"/>
  <c r="D53" i="1"/>
  <c r="D55" i="1"/>
  <c r="BC28" i="1"/>
  <c r="AC68" i="1" s="1"/>
  <c r="W28" i="1"/>
  <c r="M68" i="1" s="1"/>
  <c r="O28" i="1"/>
  <c r="I68" i="1" s="1"/>
  <c r="G28" i="1"/>
  <c r="E68" i="1" s="1"/>
  <c r="BC26" i="1"/>
  <c r="AC66" i="1" s="1"/>
  <c r="AU26" i="1"/>
  <c r="Y66" i="1" s="1"/>
  <c r="O26" i="1"/>
  <c r="I66" i="1" s="1"/>
  <c r="G26" i="1"/>
  <c r="E66" i="1" s="1"/>
  <c r="BC24" i="1"/>
  <c r="AC64" i="1" s="1"/>
  <c r="AU24" i="1"/>
  <c r="Y64" i="1" s="1"/>
  <c r="AM24" i="1"/>
  <c r="U64" i="1" s="1"/>
  <c r="G24" i="1"/>
  <c r="E64" i="1" s="1"/>
  <c r="AY28" i="1"/>
  <c r="AA68" i="1" s="1"/>
  <c r="AQ28" i="1"/>
  <c r="W68" i="1" s="1"/>
  <c r="AI28" i="1"/>
  <c r="S68" i="1" s="1"/>
  <c r="AA28" i="1"/>
  <c r="O68" i="1" s="1"/>
  <c r="S28" i="1"/>
  <c r="K68" i="1" s="1"/>
  <c r="AQ26" i="1"/>
  <c r="W66" i="1" s="1"/>
  <c r="AI26" i="1"/>
  <c r="S66" i="1" s="1"/>
  <c r="AA26" i="1"/>
  <c r="O66" i="1" s="1"/>
  <c r="S26" i="1"/>
  <c r="K66" i="1" s="1"/>
  <c r="K26" i="1"/>
  <c r="G66" i="1" s="1"/>
  <c r="AI24" i="1"/>
  <c r="S64" i="1" s="1"/>
  <c r="AA24" i="1"/>
  <c r="O64" i="1" s="1"/>
  <c r="S24" i="1"/>
  <c r="K64" i="1" s="1"/>
  <c r="K24" i="1"/>
  <c r="G64" i="1" s="1"/>
  <c r="C24" i="1"/>
  <c r="C64" i="1" s="1"/>
  <c r="AS28" i="1"/>
  <c r="X68" i="1" s="1"/>
  <c r="M28" i="1"/>
  <c r="H68" i="1" s="1"/>
  <c r="AK26" i="1"/>
  <c r="T66" i="1" s="1"/>
  <c r="BI24" i="1"/>
  <c r="AF64" i="1" s="1"/>
  <c r="AC24" i="1"/>
  <c r="P64" i="1" s="1"/>
  <c r="D56" i="1"/>
  <c r="D57" i="1"/>
  <c r="I24" i="1"/>
  <c r="F64" i="1" s="1"/>
  <c r="U24" i="1"/>
  <c r="L64" i="1" s="1"/>
  <c r="AG24" i="1"/>
  <c r="R64" i="1" s="1"/>
  <c r="AS24" i="1"/>
  <c r="X64" i="1" s="1"/>
  <c r="Y28" i="1"/>
  <c r="N68" i="1" s="1"/>
  <c r="AK28" i="1"/>
  <c r="T68" i="1" s="1"/>
  <c r="AW28" i="1"/>
  <c r="Z68" i="1" s="1"/>
  <c r="BI28" i="1"/>
  <c r="AF68" i="1" s="1"/>
  <c r="AW26" i="1"/>
  <c r="Z66" i="1" s="1"/>
  <c r="BI26" i="1"/>
  <c r="AF66" i="1" s="1"/>
  <c r="E26" i="4" l="1"/>
  <c r="AE34" i="4"/>
  <c r="J38" i="4"/>
  <c r="D38" i="4"/>
  <c r="R34" i="4"/>
  <c r="AE36" i="4"/>
  <c r="P36" i="4"/>
  <c r="T36" i="4"/>
  <c r="R36" i="4"/>
  <c r="V36" i="4"/>
  <c r="N34" i="4"/>
  <c r="AA34" i="4"/>
  <c r="L36" i="4"/>
  <c r="Y34" i="4"/>
  <c r="E34" i="4"/>
  <c r="I34" i="4"/>
  <c r="U34" i="4"/>
  <c r="Q34" i="4"/>
  <c r="C34" i="4"/>
  <c r="P34" i="4"/>
  <c r="G34" i="4"/>
  <c r="K34" i="4"/>
  <c r="X34" i="4"/>
  <c r="AB36" i="4"/>
  <c r="O34" i="4"/>
  <c r="S36" i="4"/>
  <c r="AB34" i="4"/>
  <c r="L34" i="4"/>
  <c r="Z34" i="4"/>
  <c r="Y36" i="4"/>
  <c r="U36" i="4"/>
  <c r="I36" i="4"/>
  <c r="M36" i="4"/>
  <c r="AC36" i="4"/>
  <c r="AD34" i="4"/>
  <c r="J36" i="4"/>
  <c r="S34" i="4"/>
  <c r="D36" i="4"/>
  <c r="E27" i="4"/>
  <c r="Y38" i="4"/>
  <c r="AC38" i="4"/>
  <c r="E38" i="4"/>
  <c r="M38" i="4"/>
  <c r="U38" i="4"/>
  <c r="Q38" i="4"/>
  <c r="AC34" i="4"/>
  <c r="V34" i="4"/>
  <c r="M34" i="4"/>
  <c r="T34" i="4"/>
  <c r="X36" i="4"/>
  <c r="O36" i="4"/>
  <c r="F36" i="4"/>
  <c r="F34" i="4"/>
  <c r="AF34" i="4"/>
  <c r="J34" i="4"/>
  <c r="N36" i="4"/>
  <c r="R38" i="4"/>
  <c r="W34" i="4"/>
  <c r="AA36" i="4"/>
  <c r="AE38" i="4"/>
  <c r="D34" i="4"/>
  <c r="L38" i="4"/>
  <c r="E23" i="4"/>
  <c r="E25" i="4"/>
  <c r="D8" i="2"/>
  <c r="C8" i="2"/>
  <c r="B8" i="2"/>
  <c r="BF26" i="1"/>
  <c r="AV26" i="1"/>
  <c r="Z26" i="1"/>
  <c r="P26" i="1"/>
  <c r="AJ26" i="1"/>
  <c r="X26" i="1"/>
  <c r="L26" i="1"/>
  <c r="BH26" i="1"/>
  <c r="AT26" i="1"/>
  <c r="AH26" i="1"/>
  <c r="V26" i="1"/>
  <c r="J26" i="1"/>
  <c r="BE26" i="1"/>
  <c r="AD66" i="1" s="1"/>
  <c r="AS26" i="1"/>
  <c r="X66" i="1" s="1"/>
  <c r="AG26" i="1"/>
  <c r="R66" i="1" s="1"/>
  <c r="U26" i="1"/>
  <c r="L66" i="1" s="1"/>
  <c r="I26" i="1"/>
  <c r="F66" i="1" s="1"/>
  <c r="AR26" i="1"/>
  <c r="H26" i="1"/>
  <c r="BA26" i="1"/>
  <c r="AB66" i="1" s="1"/>
  <c r="BD26" i="1"/>
  <c r="AF26" i="1"/>
  <c r="T26" i="1"/>
  <c r="AO26" i="1"/>
  <c r="V66" i="1" s="1"/>
  <c r="Q26" i="1"/>
  <c r="J66" i="1" s="1"/>
  <c r="BB26" i="1"/>
  <c r="AP26" i="1"/>
  <c r="AD26" i="1"/>
  <c r="R26" i="1"/>
  <c r="F26" i="1"/>
  <c r="AZ26" i="1"/>
  <c r="AN26" i="1"/>
  <c r="AB26" i="1"/>
  <c r="N26" i="1"/>
  <c r="BJ26" i="1"/>
  <c r="AX26" i="1"/>
  <c r="AL26" i="1"/>
  <c r="Y26" i="1"/>
  <c r="N66" i="1" s="1"/>
  <c r="M26" i="1"/>
  <c r="H66" i="1" s="1"/>
  <c r="AC26" i="1"/>
  <c r="P66" i="1" s="1"/>
  <c r="D26" i="1"/>
  <c r="E55" i="1"/>
  <c r="AX24" i="1"/>
  <c r="AN24" i="1"/>
  <c r="R24" i="1"/>
  <c r="H24" i="1"/>
  <c r="BF24" i="1"/>
  <c r="AT24" i="1"/>
  <c r="AH24" i="1"/>
  <c r="V24" i="1"/>
  <c r="J24" i="1"/>
  <c r="BD24" i="1"/>
  <c r="AR24" i="1"/>
  <c r="AF24" i="1"/>
  <c r="T24" i="1"/>
  <c r="F24" i="1"/>
  <c r="BB24" i="1"/>
  <c r="AD24" i="1"/>
  <c r="E24" i="1"/>
  <c r="D64" i="1" s="1"/>
  <c r="AP24" i="1"/>
  <c r="Q24" i="1"/>
  <c r="J64" i="1" s="1"/>
  <c r="BA24" i="1"/>
  <c r="AB64" i="1" s="1"/>
  <c r="AO24" i="1"/>
  <c r="V64" i="1" s="1"/>
  <c r="AB24" i="1"/>
  <c r="P24" i="1"/>
  <c r="D24" i="1"/>
  <c r="BJ24" i="1"/>
  <c r="AW24" i="1"/>
  <c r="Z64" i="1" s="1"/>
  <c r="AK24" i="1"/>
  <c r="T64" i="1" s="1"/>
  <c r="Y24" i="1"/>
  <c r="N64" i="1" s="1"/>
  <c r="M24" i="1"/>
  <c r="H64" i="1" s="1"/>
  <c r="BH24" i="1"/>
  <c r="AV24" i="1"/>
  <c r="AJ24" i="1"/>
  <c r="X24" i="1"/>
  <c r="L24" i="1"/>
  <c r="AL24" i="1"/>
  <c r="N24" i="1"/>
  <c r="Z24" i="1"/>
  <c r="AZ24" i="1"/>
  <c r="BD28" i="1"/>
  <c r="AH28" i="1"/>
  <c r="X28" i="1"/>
  <c r="BJ28" i="1"/>
  <c r="AX28" i="1"/>
  <c r="AL28" i="1"/>
  <c r="Z28" i="1"/>
  <c r="N28" i="1"/>
  <c r="L28" i="1"/>
  <c r="BH28" i="1"/>
  <c r="AV28" i="1"/>
  <c r="AJ28" i="1"/>
  <c r="V28" i="1"/>
  <c r="J28" i="1"/>
  <c r="BF28" i="1"/>
  <c r="BB28" i="1"/>
  <c r="AD28" i="1"/>
  <c r="R28" i="1"/>
  <c r="AT28" i="1"/>
  <c r="AG28" i="1"/>
  <c r="R68" i="1" s="1"/>
  <c r="U28" i="1"/>
  <c r="L68" i="1" s="1"/>
  <c r="I28" i="1"/>
  <c r="F68" i="1" s="1"/>
  <c r="F28" i="1"/>
  <c r="BE28" i="1"/>
  <c r="AD68" i="1" s="1"/>
  <c r="AR28" i="1"/>
  <c r="AF28" i="1"/>
  <c r="T28" i="1"/>
  <c r="H28" i="1"/>
  <c r="AP28" i="1"/>
  <c r="BA28" i="1"/>
  <c r="AB68" i="1" s="1"/>
  <c r="AO28" i="1"/>
  <c r="V68" i="1" s="1"/>
  <c r="AC28" i="1"/>
  <c r="P68" i="1" s="1"/>
  <c r="Q28" i="1"/>
  <c r="J68" i="1" s="1"/>
  <c r="E28" i="1"/>
  <c r="D68" i="1" s="1"/>
  <c r="AZ28" i="1"/>
  <c r="AN28" i="1"/>
  <c r="AB28" i="1"/>
  <c r="P28" i="1"/>
  <c r="D28" i="1"/>
  <c r="AY26" i="1"/>
  <c r="AA66" i="1" s="1"/>
  <c r="O24" i="1"/>
  <c r="I64" i="1" s="1"/>
  <c r="AE28" i="1"/>
  <c r="Q68" i="1" s="1"/>
  <c r="B10" i="2"/>
  <c r="D10" i="2"/>
  <c r="C10" i="2"/>
  <c r="AY24" i="1"/>
  <c r="AA64" i="1" s="1"/>
  <c r="BG26" i="1"/>
  <c r="AE66" i="1" s="1"/>
  <c r="C28" i="1"/>
  <c r="C68" i="1" s="1"/>
  <c r="W24" i="1"/>
  <c r="M64" i="1" s="1"/>
  <c r="AE26" i="1"/>
  <c r="Q66" i="1" s="1"/>
  <c r="AM28" i="1"/>
  <c r="U68" i="1" s="1"/>
  <c r="E57" i="1"/>
  <c r="E53" i="1"/>
  <c r="D7" i="2"/>
  <c r="C7" i="2"/>
  <c r="B7" i="2"/>
  <c r="AQ24" i="1"/>
  <c r="W64" i="1" s="1"/>
  <c r="BG28" i="1"/>
  <c r="AE68" i="1" s="1"/>
  <c r="W26" i="1"/>
  <c r="M66" i="1" s="1"/>
  <c r="B6" i="2"/>
  <c r="D6" i="2"/>
  <c r="C6" i="2"/>
  <c r="BE24" i="1"/>
  <c r="AD64" i="1" s="1"/>
  <c r="E26" i="1"/>
  <c r="D66" i="1" s="1"/>
  <c r="BG24" i="1"/>
  <c r="AE64" i="1" s="1"/>
  <c r="C26" i="1"/>
  <c r="C66" i="1" s="1"/>
  <c r="K28" i="1"/>
  <c r="G68" i="1" s="1"/>
  <c r="AE24" i="1"/>
  <c r="Q64" i="1" s="1"/>
  <c r="AM26" i="1"/>
  <c r="U66" i="1" s="1"/>
  <c r="AU28" i="1"/>
  <c r="Y68" i="1" s="1"/>
  <c r="B9" i="2"/>
  <c r="D9" i="2"/>
  <c r="C9" i="2"/>
  <c r="D5" i="2"/>
  <c r="B5" i="2"/>
  <c r="C5" i="2"/>
  <c r="H36" i="4" l="1"/>
  <c r="Q36" i="4"/>
  <c r="W36" i="4"/>
  <c r="E36" i="4"/>
  <c r="AF36" i="4"/>
  <c r="K36" i="4"/>
  <c r="G36" i="4"/>
  <c r="C36" i="4"/>
  <c r="AD36" i="4"/>
  <c r="Z36" i="4"/>
  <c r="W33" i="4"/>
  <c r="G33" i="4"/>
  <c r="AE33" i="4"/>
  <c r="S33" i="4"/>
  <c r="C33" i="4"/>
  <c r="O33" i="4"/>
  <c r="U33" i="4"/>
  <c r="H33" i="4"/>
  <c r="K33" i="4"/>
  <c r="E33" i="4"/>
  <c r="X33" i="4"/>
  <c r="P33" i="4"/>
  <c r="AD33" i="4"/>
  <c r="Q33" i="4"/>
  <c r="D33" i="4"/>
  <c r="I33" i="4"/>
  <c r="AA33" i="4"/>
  <c r="N33" i="4"/>
  <c r="J33" i="4"/>
  <c r="AC33" i="4"/>
  <c r="Z33" i="4"/>
  <c r="M33" i="4"/>
  <c r="AF33" i="4"/>
  <c r="V33" i="4"/>
  <c r="AB33" i="4"/>
  <c r="R33" i="4"/>
  <c r="T33" i="4"/>
  <c r="F33" i="4"/>
  <c r="Y33" i="4"/>
  <c r="L33" i="4"/>
  <c r="K37" i="4"/>
  <c r="AE37" i="4"/>
  <c r="AA37" i="4"/>
  <c r="G37" i="4"/>
  <c r="C37" i="4"/>
  <c r="S37" i="4"/>
  <c r="W37" i="4"/>
  <c r="J37" i="4"/>
  <c r="AC37" i="4"/>
  <c r="P37" i="4"/>
  <c r="L37" i="4"/>
  <c r="O37" i="4"/>
  <c r="H37" i="4"/>
  <c r="Z37" i="4"/>
  <c r="AB37" i="4"/>
  <c r="E37" i="4"/>
  <c r="F37" i="4"/>
  <c r="Y37" i="4"/>
  <c r="Q37" i="4"/>
  <c r="V37" i="4"/>
  <c r="R37" i="4"/>
  <c r="X37" i="4"/>
  <c r="U37" i="4"/>
  <c r="AD37" i="4"/>
  <c r="D37" i="4"/>
  <c r="M37" i="4"/>
  <c r="AF37" i="4"/>
  <c r="I37" i="4"/>
  <c r="N37" i="4"/>
  <c r="T37" i="4"/>
  <c r="W35" i="4"/>
  <c r="AA35" i="4"/>
  <c r="K35" i="4"/>
  <c r="C35" i="4"/>
  <c r="G35" i="4"/>
  <c r="S35" i="4"/>
  <c r="F35" i="4"/>
  <c r="Y35" i="4"/>
  <c r="L35" i="4"/>
  <c r="H35" i="4"/>
  <c r="D35" i="4"/>
  <c r="V35" i="4"/>
  <c r="AB35" i="4"/>
  <c r="R35" i="4"/>
  <c r="U35" i="4"/>
  <c r="M35" i="4"/>
  <c r="AF35" i="4"/>
  <c r="N35" i="4"/>
  <c r="T35" i="4"/>
  <c r="AD35" i="4"/>
  <c r="Q35" i="4"/>
  <c r="Z35" i="4"/>
  <c r="I35" i="4"/>
  <c r="E35" i="4"/>
  <c r="X35" i="4"/>
  <c r="O35" i="4"/>
  <c r="J35" i="4"/>
  <c r="AC35" i="4"/>
  <c r="P35" i="4"/>
  <c r="AE35" i="4"/>
  <c r="C19" i="2"/>
  <c r="F19" i="2"/>
  <c r="I19" i="2"/>
  <c r="L19" i="2"/>
  <c r="K15" i="2"/>
  <c r="H15" i="2"/>
  <c r="E15" i="2"/>
  <c r="B15" i="2"/>
  <c r="B19" i="2"/>
  <c r="H19" i="2"/>
  <c r="K19" i="2"/>
  <c r="E19" i="2"/>
  <c r="C14" i="2"/>
  <c r="L14" i="2"/>
  <c r="F14" i="2"/>
  <c r="I14" i="2"/>
  <c r="AT23" i="1"/>
  <c r="AJ23" i="1"/>
  <c r="BF23" i="1"/>
  <c r="V23" i="1"/>
  <c r="D23" i="1"/>
  <c r="BD23" i="1"/>
  <c r="AR23" i="1"/>
  <c r="AF23" i="1"/>
  <c r="L23" i="1"/>
  <c r="BB23" i="1"/>
  <c r="AP23" i="1"/>
  <c r="AD23" i="1"/>
  <c r="T23" i="1"/>
  <c r="K23" i="1"/>
  <c r="G63" i="1" s="1"/>
  <c r="AO23" i="1"/>
  <c r="V63" i="1" s="1"/>
  <c r="AC23" i="1"/>
  <c r="P63" i="1" s="1"/>
  <c r="J23" i="1"/>
  <c r="BA23" i="1"/>
  <c r="AB63" i="1" s="1"/>
  <c r="S23" i="1"/>
  <c r="K63" i="1" s="1"/>
  <c r="AZ23" i="1"/>
  <c r="AN23" i="1"/>
  <c r="AB23" i="1"/>
  <c r="R23" i="1"/>
  <c r="H23" i="1"/>
  <c r="BI23" i="1"/>
  <c r="AF63" i="1" s="1"/>
  <c r="AW23" i="1"/>
  <c r="Z63" i="1" s="1"/>
  <c r="AK23" i="1"/>
  <c r="T63" i="1" s="1"/>
  <c r="X23" i="1"/>
  <c r="O23" i="1"/>
  <c r="I63" i="1" s="1"/>
  <c r="F23" i="1"/>
  <c r="BH23" i="1"/>
  <c r="AV23" i="1"/>
  <c r="AH23" i="1"/>
  <c r="W23" i="1"/>
  <c r="M63" i="1" s="1"/>
  <c r="N23" i="1"/>
  <c r="E23" i="1"/>
  <c r="D63" i="1" s="1"/>
  <c r="G23" i="1"/>
  <c r="E63" i="1" s="1"/>
  <c r="AX23" i="1"/>
  <c r="BJ23" i="1"/>
  <c r="AL23" i="1"/>
  <c r="Z23" i="1"/>
  <c r="P23" i="1"/>
  <c r="AA23" i="1"/>
  <c r="O63" i="1" s="1"/>
  <c r="BC23" i="1"/>
  <c r="AC63" i="1" s="1"/>
  <c r="AM23" i="1"/>
  <c r="U63" i="1" s="1"/>
  <c r="AE23" i="1"/>
  <c r="Q63" i="1" s="1"/>
  <c r="U23" i="1"/>
  <c r="L63" i="1" s="1"/>
  <c r="BG23" i="1"/>
  <c r="AE63" i="1" s="1"/>
  <c r="AU23" i="1"/>
  <c r="Y63" i="1" s="1"/>
  <c r="C23" i="1"/>
  <c r="C63" i="1" s="1"/>
  <c r="BE23" i="1"/>
  <c r="AD63" i="1" s="1"/>
  <c r="M23" i="1"/>
  <c r="H63" i="1" s="1"/>
  <c r="Q23" i="1"/>
  <c r="J63" i="1" s="1"/>
  <c r="AY23" i="1"/>
  <c r="AA63" i="1" s="1"/>
  <c r="AQ23" i="1"/>
  <c r="W63" i="1" s="1"/>
  <c r="AI23" i="1"/>
  <c r="S63" i="1" s="1"/>
  <c r="I23" i="1"/>
  <c r="F63" i="1" s="1"/>
  <c r="AG23" i="1"/>
  <c r="R63" i="1" s="1"/>
  <c r="Y23" i="1"/>
  <c r="N63" i="1" s="1"/>
  <c r="AS23" i="1"/>
  <c r="X63" i="1" s="1"/>
  <c r="E10" i="2"/>
  <c r="D19" i="2"/>
  <c r="G19" i="2"/>
  <c r="J19" i="2"/>
  <c r="M19" i="2"/>
  <c r="H14" i="2"/>
  <c r="B14" i="2"/>
  <c r="E14" i="2"/>
  <c r="K14" i="2"/>
  <c r="BB25" i="1"/>
  <c r="AR25" i="1"/>
  <c r="V25" i="1"/>
  <c r="L25" i="1"/>
  <c r="BH25" i="1"/>
  <c r="AV25" i="1"/>
  <c r="AJ25" i="1"/>
  <c r="X25" i="1"/>
  <c r="J25" i="1"/>
  <c r="BF25" i="1"/>
  <c r="AT25" i="1"/>
  <c r="AH25" i="1"/>
  <c r="BE25" i="1"/>
  <c r="AD65" i="1" s="1"/>
  <c r="AS25" i="1"/>
  <c r="X65" i="1" s="1"/>
  <c r="AF25" i="1"/>
  <c r="T25" i="1"/>
  <c r="H25" i="1"/>
  <c r="R25" i="1"/>
  <c r="BD25" i="1"/>
  <c r="AP25" i="1"/>
  <c r="AD25" i="1"/>
  <c r="F25" i="1"/>
  <c r="BA25" i="1"/>
  <c r="AB65" i="1" s="1"/>
  <c r="AO25" i="1"/>
  <c r="V65" i="1" s="1"/>
  <c r="AC25" i="1"/>
  <c r="P65" i="1" s="1"/>
  <c r="Q25" i="1"/>
  <c r="J65" i="1" s="1"/>
  <c r="E25" i="1"/>
  <c r="D65" i="1" s="1"/>
  <c r="BJ25" i="1"/>
  <c r="AX25" i="1"/>
  <c r="AL25" i="1"/>
  <c r="Z25" i="1"/>
  <c r="N25" i="1"/>
  <c r="BI25" i="1"/>
  <c r="AF65" i="1" s="1"/>
  <c r="AW25" i="1"/>
  <c r="Z65" i="1" s="1"/>
  <c r="AK25" i="1"/>
  <c r="T65" i="1" s="1"/>
  <c r="Y25" i="1"/>
  <c r="N65" i="1" s="1"/>
  <c r="M25" i="1"/>
  <c r="H65" i="1" s="1"/>
  <c r="AZ25" i="1"/>
  <c r="AN25" i="1"/>
  <c r="P25" i="1"/>
  <c r="AB25" i="1"/>
  <c r="D25" i="1"/>
  <c r="AI25" i="1"/>
  <c r="S65" i="1" s="1"/>
  <c r="AU25" i="1"/>
  <c r="Y65" i="1" s="1"/>
  <c r="AM25" i="1"/>
  <c r="U65" i="1" s="1"/>
  <c r="AE25" i="1"/>
  <c r="Q65" i="1" s="1"/>
  <c r="AA25" i="1"/>
  <c r="O65" i="1" s="1"/>
  <c r="BC25" i="1"/>
  <c r="AC65" i="1" s="1"/>
  <c r="AG25" i="1"/>
  <c r="R65" i="1" s="1"/>
  <c r="I25" i="1"/>
  <c r="F65" i="1" s="1"/>
  <c r="S25" i="1"/>
  <c r="K65" i="1" s="1"/>
  <c r="U25" i="1"/>
  <c r="L65" i="1" s="1"/>
  <c r="C25" i="1"/>
  <c r="C65" i="1" s="1"/>
  <c r="K25" i="1"/>
  <c r="G65" i="1" s="1"/>
  <c r="BG25" i="1"/>
  <c r="AE65" i="1" s="1"/>
  <c r="W25" i="1"/>
  <c r="M65" i="1" s="1"/>
  <c r="AY25" i="1"/>
  <c r="AA65" i="1" s="1"/>
  <c r="O25" i="1"/>
  <c r="I65" i="1" s="1"/>
  <c r="AQ25" i="1"/>
  <c r="W65" i="1" s="1"/>
  <c r="G25" i="1"/>
  <c r="E65" i="1" s="1"/>
  <c r="I18" i="2"/>
  <c r="L18" i="2"/>
  <c r="F18" i="2"/>
  <c r="C18" i="2"/>
  <c r="B17" i="2"/>
  <c r="K17" i="2"/>
  <c r="E17" i="2"/>
  <c r="H17" i="2"/>
  <c r="C16" i="2"/>
  <c r="I16" i="2"/>
  <c r="F16" i="2"/>
  <c r="L16" i="2"/>
  <c r="C17" i="2"/>
  <c r="L17" i="2"/>
  <c r="I17" i="2"/>
  <c r="F17" i="2"/>
  <c r="E6" i="2"/>
  <c r="G15" i="2"/>
  <c r="D15" i="2"/>
  <c r="J15" i="2"/>
  <c r="M15" i="2"/>
  <c r="BJ27" i="1"/>
  <c r="AZ27" i="1"/>
  <c r="AD27" i="1"/>
  <c r="T27" i="1"/>
  <c r="BH27" i="1"/>
  <c r="AV27" i="1"/>
  <c r="AJ27" i="1"/>
  <c r="X27" i="1"/>
  <c r="L27" i="1"/>
  <c r="BF27" i="1"/>
  <c r="AT27" i="1"/>
  <c r="AH27" i="1"/>
  <c r="V27" i="1"/>
  <c r="J27" i="1"/>
  <c r="BB27" i="1"/>
  <c r="AP27" i="1"/>
  <c r="AC27" i="1"/>
  <c r="P67" i="1" s="1"/>
  <c r="E27" i="1"/>
  <c r="D67" i="1" s="1"/>
  <c r="BE27" i="1"/>
  <c r="AD67" i="1" s="1"/>
  <c r="AS27" i="1"/>
  <c r="X67" i="1" s="1"/>
  <c r="AG27" i="1"/>
  <c r="R67" i="1" s="1"/>
  <c r="U27" i="1"/>
  <c r="L67" i="1" s="1"/>
  <c r="H27" i="1"/>
  <c r="Q27" i="1"/>
  <c r="J67" i="1" s="1"/>
  <c r="BD27" i="1"/>
  <c r="AR27" i="1"/>
  <c r="AF27" i="1"/>
  <c r="R27" i="1"/>
  <c r="F27" i="1"/>
  <c r="BA27" i="1"/>
  <c r="AB67" i="1" s="1"/>
  <c r="AN27" i="1"/>
  <c r="AB27" i="1"/>
  <c r="P27" i="1"/>
  <c r="D27" i="1"/>
  <c r="AX27" i="1"/>
  <c r="AL27" i="1"/>
  <c r="Z27" i="1"/>
  <c r="N27" i="1"/>
  <c r="AQ27" i="1"/>
  <c r="W67" i="1" s="1"/>
  <c r="G27" i="1"/>
  <c r="E67" i="1" s="1"/>
  <c r="M27" i="1"/>
  <c r="H67" i="1" s="1"/>
  <c r="BC27" i="1"/>
  <c r="AC67" i="1" s="1"/>
  <c r="S27" i="1"/>
  <c r="K67" i="1" s="1"/>
  <c r="AU27" i="1"/>
  <c r="Y67" i="1" s="1"/>
  <c r="AM27" i="1"/>
  <c r="U67" i="1" s="1"/>
  <c r="AI27" i="1"/>
  <c r="S67" i="1" s="1"/>
  <c r="Y27" i="1"/>
  <c r="N67" i="1" s="1"/>
  <c r="AA27" i="1"/>
  <c r="O67" i="1" s="1"/>
  <c r="AK27" i="1"/>
  <c r="T67" i="1" s="1"/>
  <c r="AW27" i="1"/>
  <c r="Z67" i="1" s="1"/>
  <c r="K27" i="1"/>
  <c r="G67" i="1" s="1"/>
  <c r="C27" i="1"/>
  <c r="C67" i="1" s="1"/>
  <c r="AE27" i="1"/>
  <c r="Q67" i="1" s="1"/>
  <c r="AO27" i="1"/>
  <c r="V67" i="1" s="1"/>
  <c r="BG27" i="1"/>
  <c r="AE67" i="1" s="1"/>
  <c r="W27" i="1"/>
  <c r="M67" i="1" s="1"/>
  <c r="I27" i="1"/>
  <c r="F67" i="1" s="1"/>
  <c r="AY27" i="1"/>
  <c r="AA67" i="1" s="1"/>
  <c r="O27" i="1"/>
  <c r="I67" i="1" s="1"/>
  <c r="BI27" i="1"/>
  <c r="AF67" i="1" s="1"/>
  <c r="E5" i="2"/>
  <c r="M14" i="2"/>
  <c r="J14" i="2"/>
  <c r="D14" i="2"/>
  <c r="G14" i="2"/>
  <c r="E9" i="2"/>
  <c r="D18" i="2"/>
  <c r="G18" i="2"/>
  <c r="M18" i="2"/>
  <c r="J18" i="2"/>
  <c r="H16" i="2"/>
  <c r="K16" i="2"/>
  <c r="B16" i="2"/>
  <c r="E16" i="2"/>
  <c r="K18" i="2"/>
  <c r="E18" i="2"/>
  <c r="B18" i="2"/>
  <c r="H18" i="2"/>
  <c r="L15" i="2"/>
  <c r="C15" i="2"/>
  <c r="F15" i="2"/>
  <c r="I15" i="2"/>
  <c r="E7" i="2"/>
  <c r="J16" i="2"/>
  <c r="G16" i="2"/>
  <c r="D16" i="2"/>
  <c r="M16" i="2"/>
  <c r="E8" i="2"/>
  <c r="J17" i="2"/>
  <c r="D17" i="2"/>
  <c r="M17" i="2"/>
  <c r="G17" i="2"/>
</calcChain>
</file>

<file path=xl/sharedStrings.xml><?xml version="1.0" encoding="utf-8"?>
<sst xmlns="http://schemas.openxmlformats.org/spreadsheetml/2006/main" count="329" uniqueCount="154">
  <si>
    <r>
      <rPr>
        <sz val="12"/>
        <color theme="1"/>
        <rFont val="Noto Sans CJK SC"/>
        <family val="2"/>
      </rPr>
      <t>サンプルデータ</t>
    </r>
    <r>
      <rPr>
        <sz val="12"/>
        <color theme="1"/>
        <rFont val="Meiryo"/>
        <family val="2"/>
        <charset val="128"/>
      </rPr>
      <t>A</t>
    </r>
  </si>
  <si>
    <t>設置台数</t>
  </si>
  <si>
    <t>離反期間</t>
  </si>
  <si>
    <r>
      <rPr>
        <sz val="12"/>
        <color theme="1"/>
        <rFont val="メイリオ"/>
        <family val="2"/>
        <charset val="128"/>
      </rPr>
      <t>A</t>
    </r>
    <r>
      <rPr>
        <sz val="12"/>
        <color theme="1"/>
        <rFont val="Noto Sans CJK SC"/>
        <family val="2"/>
      </rPr>
      <t>店</t>
    </r>
  </si>
  <si>
    <r>
      <rPr>
        <sz val="12"/>
        <color theme="1"/>
        <rFont val="メイリオ"/>
        <family val="2"/>
        <charset val="128"/>
      </rPr>
      <t>1</t>
    </r>
    <r>
      <rPr>
        <sz val="12"/>
        <color theme="1"/>
        <rFont val="Noto Sans CJK SC"/>
        <family val="2"/>
      </rPr>
      <t>年～</t>
    </r>
    <r>
      <rPr>
        <sz val="12"/>
        <color theme="1"/>
        <rFont val="メイリオ"/>
        <family val="2"/>
        <charset val="128"/>
      </rPr>
      <t>3</t>
    </r>
    <r>
      <rPr>
        <sz val="12"/>
        <color theme="1"/>
        <rFont val="Noto Sans CJK SC"/>
        <family val="2"/>
      </rPr>
      <t>年未満の割合</t>
    </r>
  </si>
  <si>
    <r>
      <rPr>
        <sz val="12"/>
        <color theme="1"/>
        <rFont val="メイリオ"/>
        <family val="2"/>
        <charset val="128"/>
      </rPr>
      <t>B</t>
    </r>
    <r>
      <rPr>
        <sz val="12"/>
        <color theme="1"/>
        <rFont val="Noto Sans CJK SC"/>
        <family val="2"/>
      </rPr>
      <t>店</t>
    </r>
  </si>
  <si>
    <r>
      <rPr>
        <sz val="12"/>
        <color theme="1"/>
        <rFont val="メイリオ"/>
        <family val="2"/>
        <charset val="128"/>
      </rPr>
      <t>C</t>
    </r>
    <r>
      <rPr>
        <sz val="12"/>
        <color theme="1"/>
        <rFont val="Noto Sans CJK SC"/>
        <family val="2"/>
      </rPr>
      <t>店</t>
    </r>
  </si>
  <si>
    <r>
      <rPr>
        <sz val="12"/>
        <color theme="1"/>
        <rFont val="メイリオ"/>
        <family val="2"/>
        <charset val="128"/>
      </rPr>
      <t>D</t>
    </r>
    <r>
      <rPr>
        <sz val="12"/>
        <color theme="1"/>
        <rFont val="Noto Sans CJK SC"/>
        <family val="2"/>
      </rPr>
      <t>店</t>
    </r>
  </si>
  <si>
    <r>
      <rPr>
        <sz val="12"/>
        <color theme="1"/>
        <rFont val="メイリオ"/>
        <family val="2"/>
        <charset val="128"/>
      </rPr>
      <t>E</t>
    </r>
    <r>
      <rPr>
        <sz val="12"/>
        <color theme="1"/>
        <rFont val="Noto Sans CJK SC"/>
        <family val="2"/>
      </rPr>
      <t>店</t>
    </r>
  </si>
  <si>
    <r>
      <rPr>
        <sz val="12"/>
        <color theme="1"/>
        <rFont val="メイリオ"/>
        <family val="2"/>
        <charset val="128"/>
      </rPr>
      <t>F</t>
    </r>
    <r>
      <rPr>
        <sz val="12"/>
        <color theme="1"/>
        <rFont val="Noto Sans CJK SC"/>
        <family val="2"/>
      </rPr>
      <t>店</t>
    </r>
  </si>
  <si>
    <r>
      <rPr>
        <sz val="12"/>
        <color theme="1"/>
        <rFont val="メイリオ"/>
        <family val="2"/>
        <charset val="128"/>
      </rPr>
      <t>G</t>
    </r>
    <r>
      <rPr>
        <sz val="12"/>
        <color theme="1"/>
        <rFont val="Noto Sans CJK SC"/>
        <family val="2"/>
      </rPr>
      <t>店</t>
    </r>
  </si>
  <si>
    <r>
      <rPr>
        <sz val="12"/>
        <color theme="1"/>
        <rFont val="メイリオ"/>
        <family val="2"/>
        <charset val="128"/>
      </rPr>
      <t>H</t>
    </r>
    <r>
      <rPr>
        <sz val="12"/>
        <color theme="1"/>
        <rFont val="Noto Sans CJK SC"/>
        <family val="2"/>
      </rPr>
      <t>店</t>
    </r>
  </si>
  <si>
    <r>
      <rPr>
        <sz val="12"/>
        <rFont val="メイリオ"/>
        <family val="2"/>
        <charset val="128"/>
      </rPr>
      <t>1</t>
    </r>
    <r>
      <rPr>
        <sz val="12"/>
        <rFont val="Noto Sans CJK SC"/>
        <family val="2"/>
      </rPr>
      <t>ヶ月未満</t>
    </r>
  </si>
  <si>
    <r>
      <rPr>
        <sz val="12"/>
        <rFont val="メイリオ"/>
        <family val="2"/>
        <charset val="128"/>
      </rPr>
      <t>1</t>
    </r>
    <r>
      <rPr>
        <sz val="12"/>
        <rFont val="Noto Sans CJK SC"/>
        <family val="2"/>
      </rPr>
      <t>〜</t>
    </r>
    <r>
      <rPr>
        <sz val="12"/>
        <rFont val="メイリオ"/>
        <family val="2"/>
        <charset val="128"/>
      </rPr>
      <t>2</t>
    </r>
    <r>
      <rPr>
        <sz val="12"/>
        <rFont val="Noto Sans CJK SC"/>
        <family val="2"/>
      </rPr>
      <t>ヶ月未満</t>
    </r>
  </si>
  <si>
    <r>
      <rPr>
        <sz val="12"/>
        <rFont val="メイリオ"/>
        <family val="2"/>
        <charset val="128"/>
      </rPr>
      <t>2</t>
    </r>
    <r>
      <rPr>
        <sz val="12"/>
        <rFont val="Noto Sans CJK SC"/>
        <family val="2"/>
      </rPr>
      <t>〜</t>
    </r>
    <r>
      <rPr>
        <sz val="12"/>
        <rFont val="メイリオ"/>
        <family val="2"/>
        <charset val="128"/>
      </rPr>
      <t>3</t>
    </r>
    <r>
      <rPr>
        <sz val="12"/>
        <rFont val="Noto Sans CJK SC"/>
        <family val="2"/>
      </rPr>
      <t>ヶ月未満</t>
    </r>
  </si>
  <si>
    <r>
      <rPr>
        <sz val="12"/>
        <rFont val="メイリオ"/>
        <family val="2"/>
        <charset val="128"/>
      </rPr>
      <t>3</t>
    </r>
    <r>
      <rPr>
        <sz val="12"/>
        <rFont val="Noto Sans CJK SC"/>
        <family val="2"/>
      </rPr>
      <t>～</t>
    </r>
    <r>
      <rPr>
        <sz val="12"/>
        <rFont val="メイリオ"/>
        <family val="2"/>
        <charset val="128"/>
      </rPr>
      <t>6</t>
    </r>
    <r>
      <rPr>
        <sz val="12"/>
        <rFont val="Noto Sans CJK SC"/>
        <family val="2"/>
      </rPr>
      <t>ヶ月未満</t>
    </r>
  </si>
  <si>
    <r>
      <rPr>
        <sz val="12"/>
        <rFont val="Noto Sans CJK SC"/>
        <family val="2"/>
      </rPr>
      <t>半年～</t>
    </r>
    <r>
      <rPr>
        <sz val="12"/>
        <rFont val="メイリオ"/>
        <family val="2"/>
        <charset val="128"/>
      </rPr>
      <t>1</t>
    </r>
    <r>
      <rPr>
        <sz val="12"/>
        <rFont val="Noto Sans CJK SC"/>
        <family val="2"/>
      </rPr>
      <t>年未満</t>
    </r>
  </si>
  <si>
    <r>
      <rPr>
        <sz val="12"/>
        <rFont val="メイリオ"/>
        <family val="2"/>
        <charset val="128"/>
      </rPr>
      <t>1</t>
    </r>
    <r>
      <rPr>
        <sz val="12"/>
        <rFont val="Noto Sans CJK SC"/>
        <family val="2"/>
      </rPr>
      <t>年～</t>
    </r>
    <r>
      <rPr>
        <sz val="12"/>
        <rFont val="メイリオ"/>
        <family val="2"/>
        <charset val="128"/>
      </rPr>
      <t>3</t>
    </r>
    <r>
      <rPr>
        <sz val="12"/>
        <rFont val="Noto Sans CJK SC"/>
        <family val="2"/>
      </rPr>
      <t>年未満</t>
    </r>
  </si>
  <si>
    <r>
      <rPr>
        <sz val="12"/>
        <color theme="1"/>
        <rFont val="Noto Sans CJK SC"/>
        <family val="2"/>
      </rPr>
      <t>サンプルデータ</t>
    </r>
    <r>
      <rPr>
        <sz val="12"/>
        <color theme="1"/>
        <rFont val="Meiryo"/>
        <family val="2"/>
        <charset val="128"/>
      </rPr>
      <t>B</t>
    </r>
  </si>
  <si>
    <r>
      <rPr>
        <b/>
        <sz val="11"/>
        <rFont val="Noto Sans CJK SC"/>
        <family val="2"/>
      </rPr>
      <t>設置台数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数値</t>
    </r>
    <r>
      <rPr>
        <b/>
        <sz val="11"/>
        <rFont val="Arial"/>
        <family val="2"/>
      </rPr>
      <t>)→</t>
    </r>
  </si>
  <si>
    <r>
      <rPr>
        <b/>
        <sz val="11"/>
        <color rgb="FF375623"/>
        <rFont val="Noto Sans CJK SC"/>
        <family val="2"/>
      </rPr>
      <t>想定データ（点推定＝</t>
    </r>
    <r>
      <rPr>
        <b/>
        <sz val="11"/>
        <color rgb="FF375623"/>
        <rFont val="Arial"/>
        <family val="2"/>
      </rPr>
      <t>A</t>
    </r>
    <r>
      <rPr>
        <b/>
        <sz val="11"/>
        <color rgb="FF375623"/>
        <rFont val="Noto Sans CJK SC"/>
        <family val="2"/>
      </rPr>
      <t>・</t>
    </r>
    <r>
      <rPr>
        <b/>
        <sz val="11"/>
        <color rgb="FF375623"/>
        <rFont val="Arial"/>
        <family val="2"/>
      </rPr>
      <t>B</t>
    </r>
    <r>
      <rPr>
        <b/>
        <sz val="11"/>
        <color rgb="FF375623"/>
        <rFont val="Noto Sans CJK SC"/>
        <family val="2"/>
      </rPr>
      <t>平均／季節平準化）</t>
    </r>
  </si>
  <si>
    <r>
      <rPr>
        <b/>
        <sz val="11"/>
        <color rgb="FFFFFFFF"/>
        <rFont val="Arial"/>
        <family val="2"/>
      </rPr>
      <t>100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</si>
  <si>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</t>
    </r>
    <r>
      <rPr>
        <b/>
        <sz val="11"/>
        <color rgb="FFFFFFFF"/>
        <rFont val="Noto Sans CJK SC"/>
        <family val="2"/>
      </rPr>
      <t>年～</t>
    </r>
    <r>
      <rPr>
        <b/>
        <sz val="11"/>
        <color rgb="FFFFFFFF"/>
        <rFont val="Arial"/>
        <family val="2"/>
      </rPr>
      <t>3</t>
    </r>
    <r>
      <rPr>
        <b/>
        <sz val="11"/>
        <color rgb="FFFFFFFF"/>
        <rFont val="Noto Sans CJK SC"/>
        <family val="2"/>
      </rPr>
      <t>年未満の割合</t>
    </r>
  </si>
  <si>
    <r>
      <rPr>
        <b/>
        <sz val="11"/>
        <color rgb="FFFFFFFF"/>
        <rFont val="Arial"/>
        <family val="2"/>
      </rPr>
      <t>200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</si>
  <si>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300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</si>
  <si>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400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</si>
  <si>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500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</si>
  <si>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600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</si>
  <si>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700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</si>
  <si>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800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</si>
  <si>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900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</si>
  <si>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1000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</si>
  <si>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1100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</si>
  <si>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1200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</si>
  <si>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1300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</si>
  <si>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1400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</si>
  <si>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1500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</si>
  <si>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1600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</si>
  <si>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1700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</si>
  <si>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1800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</si>
  <si>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1900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</si>
  <si>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2000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</si>
  <si>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2100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</si>
  <si>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2200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</si>
  <si>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2300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</si>
  <si>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2400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</si>
  <si>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2500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</si>
  <si>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2600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</si>
  <si>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2700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</si>
  <si>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2800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</si>
  <si>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2900</t>
    </r>
    <r>
      <rPr>
        <b/>
        <sz val="11"/>
        <color rgb="FFFFFFFF"/>
        <rFont val="Noto Sans CJK SC"/>
        <family val="2"/>
      </rPr>
      <t>台店舗</t>
    </r>
  </si>
  <si>
    <r>
      <rPr>
        <b/>
        <sz val="11"/>
        <color rgb="FFFFFFFF"/>
        <rFont val="Arial"/>
        <family val="2"/>
      </rPr>
      <t>3000</t>
    </r>
    <r>
      <rPr>
        <b/>
        <sz val="11"/>
        <color rgb="FFFFFFFF"/>
        <rFont val="Noto Sans CJK SC"/>
        <family val="2"/>
      </rPr>
      <t>台店舗</t>
    </r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</si>
  <si>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ヶ月未満</t>
    </r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</si>
  <si>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〜</t>
    </r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ヶ月未満</t>
    </r>
  </si>
  <si>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〜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ヶ月未満</t>
    </r>
  </si>
  <si>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～</t>
    </r>
    <r>
      <rPr>
        <sz val="11"/>
        <color rgb="FF000000"/>
        <rFont val="Arial"/>
        <family val="2"/>
      </rPr>
      <t>6</t>
    </r>
    <r>
      <rPr>
        <sz val="11"/>
        <color rgb="FF000000"/>
        <rFont val="Noto Sans CJK SC"/>
        <family val="2"/>
      </rPr>
      <t>ヶ月未満</t>
    </r>
  </si>
  <si>
    <r>
      <rPr>
        <sz val="11"/>
        <color rgb="FF000000"/>
        <rFont val="Noto Sans CJK SC"/>
        <family val="2"/>
      </rPr>
      <t>半年～</t>
    </r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年未満</t>
    </r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</si>
  <si>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年～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年未満</t>
    </r>
  </si>
  <si>
    <r>
      <rPr>
        <b/>
        <sz val="11"/>
        <rFont val="Noto Sans CJK SC"/>
        <family val="2"/>
      </rPr>
      <t>■ 推定モデル前提（既存データから算出。</t>
    </r>
    <r>
      <rPr>
        <b/>
        <sz val="11"/>
        <rFont val="Arial"/>
        <family val="2"/>
      </rPr>
      <t>A</t>
    </r>
    <r>
      <rPr>
        <b/>
        <sz val="11"/>
        <rFont val="Noto Sans CJK SC"/>
        <family val="2"/>
      </rPr>
      <t>・</t>
    </r>
    <r>
      <rPr>
        <b/>
        <sz val="11"/>
        <rFont val="Arial"/>
        <family val="2"/>
      </rPr>
      <t>B</t>
    </r>
    <r>
      <rPr>
        <b/>
        <sz val="11"/>
        <rFont val="Noto Sans CJK SC"/>
        <family val="2"/>
      </rPr>
      <t>平均＝季節平準化値）</t>
    </r>
  </si>
  <si>
    <t>パラメータ</t>
  </si>
  <si>
    <r>
      <rPr>
        <b/>
        <sz val="11"/>
        <color rgb="FFFFFFFF"/>
        <rFont val="Noto Sans CJK SC"/>
        <family val="2"/>
      </rPr>
      <t>サンプル</t>
    </r>
    <r>
      <rPr>
        <b/>
        <sz val="11"/>
        <color rgb="FFFFFFFF"/>
        <rFont val="Arial"/>
        <family val="2"/>
      </rPr>
      <t>A(</t>
    </r>
    <r>
      <rPr>
        <b/>
        <sz val="11"/>
        <color rgb="FFFFFFFF"/>
        <rFont val="Noto Sans CJK SC"/>
        <family val="2"/>
      </rPr>
      <t>季節</t>
    </r>
    <r>
      <rPr>
        <b/>
        <sz val="11"/>
        <color rgb="FFFFFFFF"/>
        <rFont val="Arial"/>
        <family val="2"/>
      </rPr>
      <t>1)</t>
    </r>
  </si>
  <si>
    <r>
      <rPr>
        <b/>
        <sz val="11"/>
        <color rgb="FFFFFFFF"/>
        <rFont val="Noto Sans CJK SC"/>
        <family val="2"/>
      </rPr>
      <t>サンプル</t>
    </r>
    <r>
      <rPr>
        <b/>
        <sz val="11"/>
        <color rgb="FFFFFFFF"/>
        <rFont val="Arial"/>
        <family val="2"/>
      </rPr>
      <t>B(</t>
    </r>
    <r>
      <rPr>
        <b/>
        <sz val="11"/>
        <color rgb="FFFFFFFF"/>
        <rFont val="Noto Sans CJK SC"/>
        <family val="2"/>
      </rPr>
      <t>季節</t>
    </r>
    <r>
      <rPr>
        <b/>
        <sz val="11"/>
        <color rgb="FFFFFFFF"/>
        <rFont val="Arial"/>
        <family val="2"/>
      </rPr>
      <t>2)</t>
    </r>
  </si>
  <si>
    <r>
      <rPr>
        <b/>
        <sz val="11"/>
        <color rgb="FFFFFFFF"/>
        <rFont val="Arial"/>
        <family val="2"/>
      </rPr>
      <t>A</t>
    </r>
    <r>
      <rPr>
        <b/>
        <sz val="11"/>
        <color rgb="FFFFFFFF"/>
        <rFont val="Noto Sans CJK SC"/>
        <family val="2"/>
      </rPr>
      <t>・</t>
    </r>
    <r>
      <rPr>
        <b/>
        <sz val="11"/>
        <color rgb="FFFFFFFF"/>
        <rFont val="Arial"/>
        <family val="2"/>
      </rPr>
      <t>B</t>
    </r>
    <r>
      <rPr>
        <b/>
        <sz val="11"/>
        <color rgb="FFFFFFFF"/>
        <rFont val="Noto Sans CJK SC"/>
        <family val="2"/>
      </rPr>
      <t>平均</t>
    </r>
  </si>
  <si>
    <r>
      <rPr>
        <sz val="11"/>
        <color rgb="FF000000"/>
        <rFont val="Noto Sans CJK SC"/>
        <family val="2"/>
      </rPr>
      <t xml:space="preserve">設置台数あたり総会員数 </t>
    </r>
    <r>
      <rPr>
        <sz val="11"/>
        <color rgb="FF000000"/>
        <rFont val="Arial"/>
        <family val="2"/>
      </rPr>
      <t>k</t>
    </r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</si>
  <si>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ヶ月未満 割合</t>
    </r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</si>
  <si>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〜</t>
    </r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ヶ月未満 割合</t>
    </r>
  </si>
  <si>
    <r>
      <rPr>
        <sz val="11"/>
        <color rgb="FF000000"/>
        <rFont val="Arial"/>
        <family val="2"/>
      </rPr>
      <t>2</t>
    </r>
    <r>
      <rPr>
        <sz val="11"/>
        <color rgb="FF000000"/>
        <rFont val="Noto Sans CJK SC"/>
        <family val="2"/>
      </rPr>
      <t>〜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ヶ月未満 割合</t>
    </r>
  </si>
  <si>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～</t>
    </r>
    <r>
      <rPr>
        <sz val="11"/>
        <color rgb="FF000000"/>
        <rFont val="Arial"/>
        <family val="2"/>
      </rPr>
      <t>6</t>
    </r>
    <r>
      <rPr>
        <sz val="11"/>
        <color rgb="FF000000"/>
        <rFont val="Noto Sans CJK SC"/>
        <family val="2"/>
      </rPr>
      <t>ヶ月未満 割合</t>
    </r>
  </si>
  <si>
    <r>
      <rPr>
        <sz val="11"/>
        <color rgb="FF000000"/>
        <rFont val="Noto Sans CJK SC"/>
        <family val="2"/>
      </rPr>
      <t>半年～</t>
    </r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年未満 割合</t>
    </r>
  </si>
  <si>
    <r>
      <rPr>
        <sz val="11"/>
        <color rgb="FF000000"/>
        <rFont val="Arial"/>
        <family val="2"/>
      </rPr>
      <t>1</t>
    </r>
    <r>
      <rPr>
        <sz val="11"/>
        <color rgb="FF000000"/>
        <rFont val="Noto Sans CJK SC"/>
        <family val="2"/>
      </rPr>
      <t>年～</t>
    </r>
    <r>
      <rPr>
        <sz val="11"/>
        <color rgb="FF000000"/>
        <rFont val="Arial"/>
        <family val="2"/>
      </rPr>
      <t>3</t>
    </r>
    <r>
      <rPr>
        <sz val="11"/>
        <color rgb="FF000000"/>
        <rFont val="Noto Sans CJK SC"/>
        <family val="2"/>
      </rPr>
      <t>年未満 割合</t>
    </r>
  </si>
  <si>
    <r>
      <rPr>
        <i/>
        <sz val="9"/>
        <color rgb="FF808080"/>
        <rFont val="Arial"/>
        <family val="2"/>
      </rPr>
      <t>[</t>
    </r>
    <r>
      <rPr>
        <i/>
        <sz val="9"/>
        <color rgb="FF808080"/>
        <rFont val="Noto Sans CJK SC"/>
        <family val="2"/>
      </rPr>
      <t>グラフ用</t>
    </r>
    <r>
      <rPr>
        <i/>
        <sz val="9"/>
        <color rgb="FF808080"/>
        <rFont val="Arial"/>
        <family val="2"/>
      </rPr>
      <t xml:space="preserve">] </t>
    </r>
    <r>
      <rPr>
        <i/>
        <sz val="9"/>
        <color rgb="FF808080"/>
        <rFont val="Noto Sans CJK SC"/>
        <family val="2"/>
      </rPr>
      <t>点推定</t>
    </r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平均</t>
    </r>
    <r>
      <rPr>
        <i/>
        <sz val="9"/>
        <color rgb="FF808080"/>
        <rFont val="Arial"/>
        <family val="2"/>
      </rPr>
      <t>)</t>
    </r>
  </si>
  <si>
    <r>
      <rPr>
        <sz val="9"/>
        <rFont val="Arial"/>
        <family val="2"/>
      </rPr>
      <t>1</t>
    </r>
    <r>
      <rPr>
        <sz val="9"/>
        <rFont val="Noto Sans CJK SC"/>
        <family val="2"/>
      </rPr>
      <t>ヶ月未満</t>
    </r>
  </si>
  <si>
    <r>
      <rPr>
        <sz val="9"/>
        <rFont val="Arial"/>
        <family val="2"/>
      </rPr>
      <t>1</t>
    </r>
    <r>
      <rPr>
        <sz val="9"/>
        <rFont val="Noto Sans CJK SC"/>
        <family val="2"/>
      </rPr>
      <t>〜</t>
    </r>
    <r>
      <rPr>
        <sz val="9"/>
        <rFont val="Arial"/>
        <family val="2"/>
      </rPr>
      <t>2</t>
    </r>
    <r>
      <rPr>
        <sz val="9"/>
        <rFont val="Noto Sans CJK SC"/>
        <family val="2"/>
      </rPr>
      <t>ヶ月未満</t>
    </r>
  </si>
  <si>
    <r>
      <rPr>
        <sz val="9"/>
        <rFont val="Arial"/>
        <family val="2"/>
      </rPr>
      <t>2</t>
    </r>
    <r>
      <rPr>
        <sz val="9"/>
        <rFont val="Noto Sans CJK SC"/>
        <family val="2"/>
      </rPr>
      <t>〜</t>
    </r>
    <r>
      <rPr>
        <sz val="9"/>
        <rFont val="Arial"/>
        <family val="2"/>
      </rPr>
      <t>3</t>
    </r>
    <r>
      <rPr>
        <sz val="9"/>
        <rFont val="Noto Sans CJK SC"/>
        <family val="2"/>
      </rPr>
      <t>ヶ月未満</t>
    </r>
  </si>
  <si>
    <r>
      <rPr>
        <sz val="9"/>
        <rFont val="Arial"/>
        <family val="2"/>
      </rPr>
      <t>3</t>
    </r>
    <r>
      <rPr>
        <sz val="9"/>
        <rFont val="Noto Sans CJK SC"/>
        <family val="2"/>
      </rPr>
      <t>～</t>
    </r>
    <r>
      <rPr>
        <sz val="9"/>
        <rFont val="Arial"/>
        <family val="2"/>
      </rPr>
      <t>6</t>
    </r>
    <r>
      <rPr>
        <sz val="9"/>
        <rFont val="Noto Sans CJK SC"/>
        <family val="2"/>
      </rPr>
      <t>ヶ月未満</t>
    </r>
  </si>
  <si>
    <r>
      <rPr>
        <sz val="9"/>
        <rFont val="Noto Sans CJK SC"/>
        <family val="2"/>
      </rPr>
      <t>半年～</t>
    </r>
    <r>
      <rPr>
        <sz val="9"/>
        <rFont val="Arial"/>
        <family val="2"/>
      </rPr>
      <t>1</t>
    </r>
    <r>
      <rPr>
        <sz val="9"/>
        <rFont val="Noto Sans CJK SC"/>
        <family val="2"/>
      </rPr>
      <t>年未満</t>
    </r>
  </si>
  <si>
    <r>
      <rPr>
        <sz val="9"/>
        <rFont val="Arial"/>
        <family val="2"/>
      </rPr>
      <t>1</t>
    </r>
    <r>
      <rPr>
        <sz val="9"/>
        <rFont val="Noto Sans CJK SC"/>
        <family val="2"/>
      </rPr>
      <t>年～</t>
    </r>
    <r>
      <rPr>
        <sz val="9"/>
        <rFont val="Arial"/>
        <family val="2"/>
      </rPr>
      <t>3</t>
    </r>
    <r>
      <rPr>
        <sz val="9"/>
        <rFont val="Noto Sans CJK SC"/>
        <family val="2"/>
      </rPr>
      <t>年未満</t>
    </r>
  </si>
  <si>
    <t>離反割合のバラつき（季節平準化後の店舗間バンド）</t>
  </si>
  <si>
    <r>
      <rPr>
        <sz val="9"/>
        <color rgb="FF808080"/>
        <rFont val="Noto Sans CJK SC"/>
        <family val="2"/>
      </rPr>
      <t>点推定＝</t>
    </r>
    <r>
      <rPr>
        <sz val="9"/>
        <color rgb="FF808080"/>
        <rFont val="Arial"/>
        <family val="2"/>
      </rPr>
      <t>A</t>
    </r>
    <r>
      <rPr>
        <sz val="9"/>
        <color rgb="FF808080"/>
        <rFont val="Noto Sans CJK SC"/>
        <family val="2"/>
      </rPr>
      <t>・</t>
    </r>
    <r>
      <rPr>
        <sz val="9"/>
        <color rgb="FF808080"/>
        <rFont val="Arial"/>
        <family val="2"/>
      </rPr>
      <t>B</t>
    </r>
    <r>
      <rPr>
        <sz val="9"/>
        <color rgb="FF808080"/>
        <rFont val="Noto Sans CJK SC"/>
        <family val="2"/>
      </rPr>
      <t>平均。下限</t>
    </r>
    <r>
      <rPr>
        <sz val="9"/>
        <color rgb="FF808080"/>
        <rFont val="Arial"/>
        <family val="2"/>
      </rPr>
      <t>/</t>
    </r>
    <r>
      <rPr>
        <sz val="9"/>
        <color rgb="FF808080"/>
        <rFont val="Noto Sans CJK SC"/>
        <family val="2"/>
      </rPr>
      <t>上限＝</t>
    </r>
    <r>
      <rPr>
        <sz val="9"/>
        <color rgb="FF808080"/>
        <rFont val="Arial"/>
        <family val="2"/>
      </rPr>
      <t>8</t>
    </r>
    <r>
      <rPr>
        <sz val="9"/>
        <color rgb="FF808080"/>
        <rFont val="Noto Sans CJK SC"/>
        <family val="2"/>
      </rPr>
      <t>店舗の季節平均割合の最小</t>
    </r>
    <r>
      <rPr>
        <sz val="9"/>
        <color rgb="FF808080"/>
        <rFont val="Arial"/>
        <family val="2"/>
      </rPr>
      <t>/</t>
    </r>
    <r>
      <rPr>
        <sz val="9"/>
        <color rgb="FF808080"/>
        <rFont val="Noto Sans CJK SC"/>
        <family val="2"/>
      </rPr>
      <t>最大。総数</t>
    </r>
    <r>
      <rPr>
        <sz val="9"/>
        <color rgb="FF808080"/>
        <rFont val="Arial"/>
        <family val="2"/>
      </rPr>
      <t>(k)</t>
    </r>
    <r>
      <rPr>
        <sz val="9"/>
        <color rgb="FF808080"/>
        <rFont val="Noto Sans CJK SC"/>
        <family val="2"/>
      </rPr>
      <t>の振れは未反映。</t>
    </r>
  </si>
  <si>
    <t>割合 下限</t>
  </si>
  <si>
    <r>
      <rPr>
        <b/>
        <sz val="11"/>
        <color rgb="FFFFFFFF"/>
        <rFont val="Noto Sans CJK SC"/>
        <family val="2"/>
      </rPr>
      <t>割合 点推定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平均</t>
    </r>
    <r>
      <rPr>
        <b/>
        <sz val="11"/>
        <color rgb="FFFFFFFF"/>
        <rFont val="Arial"/>
        <family val="2"/>
      </rPr>
      <t>)</t>
    </r>
  </si>
  <si>
    <t>割合 上限</t>
  </si>
  <si>
    <r>
      <rPr>
        <b/>
        <sz val="11"/>
        <color rgb="FFFFFFFF"/>
        <rFont val="Noto Sans CJK SC"/>
        <family val="2"/>
      </rPr>
      <t>幅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上限−下限</t>
    </r>
    <r>
      <rPr>
        <b/>
        <sz val="11"/>
        <color rgb="FFFFFFFF"/>
        <rFont val="Arial"/>
        <family val="2"/>
      </rPr>
      <t>)</t>
    </r>
  </si>
  <si>
    <t>代表サイズの人数レンジ（割合バンド適用。総数は点推定で固定）</t>
  </si>
  <si>
    <r>
      <rPr>
        <b/>
        <sz val="11"/>
        <color rgb="FFFFFFFF"/>
        <rFont val="Arial"/>
        <family val="2"/>
      </rPr>
      <t>500</t>
    </r>
    <r>
      <rPr>
        <b/>
        <sz val="11"/>
        <color rgb="FFFFFFFF"/>
        <rFont val="Noto Sans CJK SC"/>
        <family val="2"/>
      </rPr>
      <t>台 下限</t>
    </r>
  </si>
  <si>
    <r>
      <rPr>
        <b/>
        <sz val="11"/>
        <color rgb="FFFFFFFF"/>
        <rFont val="Arial"/>
        <family val="2"/>
      </rPr>
      <t>500</t>
    </r>
    <r>
      <rPr>
        <b/>
        <sz val="11"/>
        <color rgb="FFFFFFFF"/>
        <rFont val="Noto Sans CJK SC"/>
        <family val="2"/>
      </rPr>
      <t>台 点推定</t>
    </r>
  </si>
  <si>
    <r>
      <rPr>
        <b/>
        <sz val="11"/>
        <color rgb="FFFFFFFF"/>
        <rFont val="Arial"/>
        <family val="2"/>
      </rPr>
      <t>500</t>
    </r>
    <r>
      <rPr>
        <b/>
        <sz val="11"/>
        <color rgb="FFFFFFFF"/>
        <rFont val="Noto Sans CJK SC"/>
        <family val="2"/>
      </rPr>
      <t>台 上限</t>
    </r>
  </si>
  <si>
    <r>
      <rPr>
        <b/>
        <sz val="11"/>
        <color rgb="FFFFFFFF"/>
        <rFont val="Arial"/>
        <family val="2"/>
      </rPr>
      <t>1000</t>
    </r>
    <r>
      <rPr>
        <b/>
        <sz val="11"/>
        <color rgb="FFFFFFFF"/>
        <rFont val="Noto Sans CJK SC"/>
        <family val="2"/>
      </rPr>
      <t>台 下限</t>
    </r>
  </si>
  <si>
    <r>
      <rPr>
        <b/>
        <sz val="11"/>
        <color rgb="FFFFFFFF"/>
        <rFont val="Arial"/>
        <family val="2"/>
      </rPr>
      <t>1000</t>
    </r>
    <r>
      <rPr>
        <b/>
        <sz val="11"/>
        <color rgb="FFFFFFFF"/>
        <rFont val="Noto Sans CJK SC"/>
        <family val="2"/>
      </rPr>
      <t>台 点推定</t>
    </r>
  </si>
  <si>
    <r>
      <rPr>
        <b/>
        <sz val="11"/>
        <color rgb="FFFFFFFF"/>
        <rFont val="Arial"/>
        <family val="2"/>
      </rPr>
      <t>1000</t>
    </r>
    <r>
      <rPr>
        <b/>
        <sz val="11"/>
        <color rgb="FFFFFFFF"/>
        <rFont val="Noto Sans CJK SC"/>
        <family val="2"/>
      </rPr>
      <t>台 上限</t>
    </r>
  </si>
  <si>
    <r>
      <rPr>
        <b/>
        <sz val="11"/>
        <color rgb="FFFFFFFF"/>
        <rFont val="Arial"/>
        <family val="2"/>
      </rPr>
      <t>2000</t>
    </r>
    <r>
      <rPr>
        <b/>
        <sz val="11"/>
        <color rgb="FFFFFFFF"/>
        <rFont val="Noto Sans CJK SC"/>
        <family val="2"/>
      </rPr>
      <t>台 下限</t>
    </r>
  </si>
  <si>
    <r>
      <rPr>
        <b/>
        <sz val="11"/>
        <color rgb="FFFFFFFF"/>
        <rFont val="Arial"/>
        <family val="2"/>
      </rPr>
      <t>2000</t>
    </r>
    <r>
      <rPr>
        <b/>
        <sz val="11"/>
        <color rgb="FFFFFFFF"/>
        <rFont val="Noto Sans CJK SC"/>
        <family val="2"/>
      </rPr>
      <t>台 点推定</t>
    </r>
  </si>
  <si>
    <r>
      <rPr>
        <b/>
        <sz val="11"/>
        <color rgb="FFFFFFFF"/>
        <rFont val="Arial"/>
        <family val="2"/>
      </rPr>
      <t>2000</t>
    </r>
    <r>
      <rPr>
        <b/>
        <sz val="11"/>
        <color rgb="FFFFFFFF"/>
        <rFont val="Noto Sans CJK SC"/>
        <family val="2"/>
      </rPr>
      <t>台 上限</t>
    </r>
  </si>
  <si>
    <r>
      <rPr>
        <b/>
        <sz val="11"/>
        <color rgb="FFFFFFFF"/>
        <rFont val="Arial"/>
        <family val="2"/>
      </rPr>
      <t>3000</t>
    </r>
    <r>
      <rPr>
        <b/>
        <sz val="11"/>
        <color rgb="FFFFFFFF"/>
        <rFont val="Noto Sans CJK SC"/>
        <family val="2"/>
      </rPr>
      <t>台 下限</t>
    </r>
  </si>
  <si>
    <r>
      <rPr>
        <b/>
        <sz val="11"/>
        <color rgb="FFFFFFFF"/>
        <rFont val="Arial"/>
        <family val="2"/>
      </rPr>
      <t>3000</t>
    </r>
    <r>
      <rPr>
        <b/>
        <sz val="11"/>
        <color rgb="FFFFFFFF"/>
        <rFont val="Noto Sans CJK SC"/>
        <family val="2"/>
      </rPr>
      <t>台 点推定</t>
    </r>
  </si>
  <si>
    <r>
      <rPr>
        <b/>
        <sz val="11"/>
        <color rgb="FFFFFFFF"/>
        <rFont val="Arial"/>
        <family val="2"/>
      </rPr>
      <t>3000</t>
    </r>
    <r>
      <rPr>
        <b/>
        <sz val="11"/>
        <color rgb="FFFFFFFF"/>
        <rFont val="Noto Sans CJK SC"/>
        <family val="2"/>
      </rPr>
      <t>台 上限</t>
    </r>
  </si>
  <si>
    <r>
      <rPr>
        <sz val="8"/>
        <color rgb="FFB0B0B0"/>
        <rFont val="Arial"/>
        <family val="2"/>
      </rPr>
      <t>1</t>
    </r>
    <r>
      <rPr>
        <sz val="8"/>
        <color rgb="FFB0B0B0"/>
        <rFont val="Noto Sans CJK SC"/>
        <family val="2"/>
      </rPr>
      <t>ヶ月未満</t>
    </r>
  </si>
  <si>
    <r>
      <rPr>
        <sz val="8"/>
        <color rgb="FFB0B0B0"/>
        <rFont val="Arial"/>
        <family val="2"/>
      </rPr>
      <t>1</t>
    </r>
    <r>
      <rPr>
        <sz val="8"/>
        <color rgb="FFB0B0B0"/>
        <rFont val="Noto Sans CJK SC"/>
        <family val="2"/>
      </rPr>
      <t>〜</t>
    </r>
    <r>
      <rPr>
        <sz val="8"/>
        <color rgb="FFB0B0B0"/>
        <rFont val="Arial"/>
        <family val="2"/>
      </rPr>
      <t>2</t>
    </r>
    <r>
      <rPr>
        <sz val="8"/>
        <color rgb="FFB0B0B0"/>
        <rFont val="Noto Sans CJK SC"/>
        <family val="2"/>
      </rPr>
      <t>ヶ月未満</t>
    </r>
  </si>
  <si>
    <r>
      <rPr>
        <sz val="8"/>
        <color rgb="FFB0B0B0"/>
        <rFont val="Arial"/>
        <family val="2"/>
      </rPr>
      <t>2</t>
    </r>
    <r>
      <rPr>
        <sz val="8"/>
        <color rgb="FFB0B0B0"/>
        <rFont val="Noto Sans CJK SC"/>
        <family val="2"/>
      </rPr>
      <t>〜</t>
    </r>
    <r>
      <rPr>
        <sz val="8"/>
        <color rgb="FFB0B0B0"/>
        <rFont val="Arial"/>
        <family val="2"/>
      </rPr>
      <t>3</t>
    </r>
    <r>
      <rPr>
        <sz val="8"/>
        <color rgb="FFB0B0B0"/>
        <rFont val="Noto Sans CJK SC"/>
        <family val="2"/>
      </rPr>
      <t>ヶ月未満</t>
    </r>
  </si>
  <si>
    <r>
      <rPr>
        <sz val="8"/>
        <color rgb="FFB0B0B0"/>
        <rFont val="Arial"/>
        <family val="2"/>
      </rPr>
      <t>3</t>
    </r>
    <r>
      <rPr>
        <sz val="8"/>
        <color rgb="FFB0B0B0"/>
        <rFont val="Noto Sans CJK SC"/>
        <family val="2"/>
      </rPr>
      <t>～</t>
    </r>
    <r>
      <rPr>
        <sz val="8"/>
        <color rgb="FFB0B0B0"/>
        <rFont val="Arial"/>
        <family val="2"/>
      </rPr>
      <t>6</t>
    </r>
    <r>
      <rPr>
        <sz val="8"/>
        <color rgb="FFB0B0B0"/>
        <rFont val="Noto Sans CJK SC"/>
        <family val="2"/>
      </rPr>
      <t>ヶ月未満</t>
    </r>
  </si>
  <si>
    <r>
      <rPr>
        <sz val="8"/>
        <color rgb="FFB0B0B0"/>
        <rFont val="Noto Sans CJK SC"/>
        <family val="2"/>
      </rPr>
      <t>半年～</t>
    </r>
    <r>
      <rPr>
        <sz val="8"/>
        <color rgb="FFB0B0B0"/>
        <rFont val="Arial"/>
        <family val="2"/>
      </rPr>
      <t>1</t>
    </r>
    <r>
      <rPr>
        <sz val="8"/>
        <color rgb="FFB0B0B0"/>
        <rFont val="Noto Sans CJK SC"/>
        <family val="2"/>
      </rPr>
      <t>年未満</t>
    </r>
  </si>
  <si>
    <r>
      <rPr>
        <sz val="8"/>
        <color rgb="FFB0B0B0"/>
        <rFont val="Arial"/>
        <family val="2"/>
      </rPr>
      <t>1</t>
    </r>
    <r>
      <rPr>
        <sz val="8"/>
        <color rgb="FFB0B0B0"/>
        <rFont val="Noto Sans CJK SC"/>
        <family val="2"/>
      </rPr>
      <t>年～</t>
    </r>
    <r>
      <rPr>
        <sz val="8"/>
        <color rgb="FFB0B0B0"/>
        <rFont val="Arial"/>
        <family val="2"/>
      </rPr>
      <t>3</t>
    </r>
    <r>
      <rPr>
        <sz val="8"/>
        <color rgb="FFB0B0B0"/>
        <rFont val="Noto Sans CJK SC"/>
        <family val="2"/>
      </rPr>
      <t>年未満</t>
    </r>
  </si>
  <si>
    <t>O-MAY</t>
  </si>
  <si>
    <t>最終来店日</t>
  </si>
  <si>
    <t>なる</t>
  </si>
  <si>
    <t>割合</t>
  </si>
  <si>
    <t>ひがし</t>
  </si>
  <si>
    <t>かわじ</t>
  </si>
  <si>
    <t>にい</t>
  </si>
  <si>
    <t>S</t>
  </si>
  <si>
    <t>P</t>
  </si>
  <si>
    <t>KO</t>
  </si>
  <si>
    <r>
      <rPr>
        <sz val="12"/>
        <rFont val="メイリオ"/>
        <family val="2"/>
        <charset val="128"/>
      </rPr>
      <t>3</t>
    </r>
    <r>
      <rPr>
        <sz val="12"/>
        <rFont val="Noto Sans CJK SC"/>
        <family val="2"/>
      </rPr>
      <t>年以上</t>
    </r>
  </si>
  <si>
    <t>台数</t>
  </si>
  <si>
    <t>O-JUN</t>
  </si>
  <si>
    <t>設置台数(数値)→</t>
  </si>
  <si>
    <t>想定データ（点推定＝A・B平均／季節平準化）</t>
  </si>
  <si>
    <t>100台店舗</t>
  </si>
  <si>
    <t>1年～3年未満の割合</t>
  </si>
  <si>
    <t>200台店舗</t>
  </si>
  <si>
    <t>300台店舗</t>
  </si>
  <si>
    <t>400台店舗</t>
  </si>
  <si>
    <t>500台店舗</t>
  </si>
  <si>
    <t>600台店舗</t>
  </si>
  <si>
    <t>700台店舗</t>
  </si>
  <si>
    <t>800台店舗</t>
  </si>
  <si>
    <t>900台店舗</t>
  </si>
  <si>
    <t>1000台店舗</t>
  </si>
  <si>
    <t>1100台店舗</t>
  </si>
  <si>
    <t>1200台店舗</t>
  </si>
  <si>
    <t>1300台店舗</t>
  </si>
  <si>
    <t>1400台店舗</t>
  </si>
  <si>
    <t>1500台店舗</t>
  </si>
  <si>
    <t>1600台店舗</t>
  </si>
  <si>
    <t>1700台店舗</t>
  </si>
  <si>
    <t>1800台店舗</t>
  </si>
  <si>
    <t>1900台店舗</t>
  </si>
  <si>
    <t>2000台店舗</t>
  </si>
  <si>
    <t>2100台店舗</t>
  </si>
  <si>
    <t>2200台店舗</t>
  </si>
  <si>
    <t>2300台店舗</t>
  </si>
  <si>
    <t>2400台店舗</t>
  </si>
  <si>
    <t>2500台店舗</t>
  </si>
  <si>
    <t>2600台店舗</t>
  </si>
  <si>
    <t>2700台店舗</t>
  </si>
  <si>
    <t>2800台店舗</t>
  </si>
  <si>
    <t>2900台店舗</t>
  </si>
  <si>
    <t>3000台店舗</t>
  </si>
  <si>
    <t>1ヶ月未満</t>
  </si>
  <si>
    <t>1〜2ヶ月未満</t>
  </si>
  <si>
    <t>2〜3ヶ月未満</t>
  </si>
  <si>
    <t>3～6ヶ月未満</t>
  </si>
  <si>
    <t>半年～1年未満</t>
  </si>
  <si>
    <t>1年～3年未満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</si>
</sst>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8" formatCode="m/d/yyyy"/>
  </numFmts>
  <fonts count="25">
    <font>
      <sz val="12"/>
      <color theme="1"/>
      <name val="Meiryo"/>
      <family val="2"/>
      <charset val="128"/>
    </font>
    <font>
      <sz val="12"/>
      <color theme="1"/>
      <name val="游ゴシック"/>
      <family val="2"/>
      <charset val="128"/>
    </font>
    <font>
      <sz val="12"/>
      <color theme="1"/>
      <name val="Noto Sans CJK SC"/>
      <family val="2"/>
    </font>
    <font>
      <sz val="12"/>
      <color theme="1"/>
      <name val="メイリオ"/>
      <family val="2"/>
      <charset val="128"/>
    </font>
    <font>
      <sz val="12"/>
      <name val="メイリオ"/>
      <family val="2"/>
      <charset val="128"/>
    </font>
    <font>
      <sz val="12"/>
      <name val="Noto Sans CJK SC"/>
      <family val="2"/>
    </font>
    <font>
      <b/>
      <sz val="11"/>
      <name val="Noto Sans CJK SC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1"/>
      <color rgb="FF375623"/>
      <name val="Noto Sans CJK SC"/>
      <family val="2"/>
    </font>
    <font>
      <b/>
      <sz val="11"/>
      <color rgb="FF375623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00"/>
      <name val="Noto Sans CJK SC"/>
      <family val="2"/>
    </font>
    <font>
      <i/>
      <sz val="9"/>
      <color rgb="FF808080"/>
      <name val="Arial"/>
      <family val="2"/>
    </font>
    <font>
      <i/>
      <sz val="9"/>
      <color rgb="FF808080"/>
      <name val="Noto Sans CJK SC"/>
      <family val="2"/>
    </font>
    <font>
      <sz val="9"/>
      <name val="Arial"/>
      <family val="2"/>
    </font>
    <font>
      <sz val="9"/>
      <name val="Noto Sans CJK SC"/>
      <family val="2"/>
    </font>
    <font>
      <b/>
      <sz val="12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2"/>
    </font>
    <font>
      <sz val="8"/>
      <color rgb="FFB0B0B0"/>
      <name val="Arial"/>
      <family val="2"/>
    </font>
    <font>
      <sz val="8"/>
      <color rgb="FFB0B0B0"/>
      <name val="Noto Sans CJK SC"/>
      <family val="2"/>
    </font>
    <font>
      <sz val="6"/>
      <name val="Meiryo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375623"/>
        <bgColor rgb="FF196B24"/>
      </patternFill>
    </fill>
    <fill>
      <patternFill patternType="solid">
        <fgColor rgb="FF2E5496"/>
        <bgColor rgb="FF156082"/>
      </patternFill>
    </fill>
    <fill>
      <patternFill patternType="solid">
        <fgColor rgb="FF1F3864"/>
        <bgColor rgb="FF2E5496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>
      <alignment vertical="center"/>
    </xf>
    <xf numFmtId="0" fontId="2" fillId="0" borderId="3" xfId="0" applyFont="1" applyBorder="1">
      <alignment vertical="center"/>
    </xf>
    <xf numFmtId="0" fontId="0" fillId="0" borderId="4" xfId="0" applyBorder="1">
      <alignment vertical="center"/>
    </xf>
    <xf numFmtId="0" fontId="2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2" xfId="1" applyFont="1" applyBorder="1" applyAlignment="1" applyProtection="1">
      <alignment vertical="center" shrinkToFit="1"/>
      <protection hidden="1"/>
    </xf>
    <xf numFmtId="176" fontId="3" fillId="0" borderId="6" xfId="0" applyNumberFormat="1" applyFont="1" applyBorder="1">
      <alignment vertical="center"/>
    </xf>
    <xf numFmtId="0" fontId="0" fillId="0" borderId="5" xfId="0" applyBorder="1">
      <alignment vertical="center"/>
    </xf>
    <xf numFmtId="0" fontId="5" fillId="0" borderId="2" xfId="1" applyFont="1" applyBorder="1" applyAlignment="1" applyProtection="1">
      <alignment vertical="center" shrinkToFit="1"/>
      <protection hidden="1"/>
    </xf>
    <xf numFmtId="0" fontId="3" fillId="0" borderId="7" xfId="0" applyFont="1" applyBorder="1">
      <alignment vertical="center"/>
    </xf>
    <xf numFmtId="176" fontId="3" fillId="0" borderId="8" xfId="0" applyNumberFormat="1" applyFont="1" applyBorder="1">
      <alignment vertical="center"/>
    </xf>
    <xf numFmtId="0" fontId="0" fillId="0" borderId="7" xfId="0" applyBorder="1">
      <alignment vertical="center"/>
    </xf>
    <xf numFmtId="0" fontId="6" fillId="0" borderId="0" xfId="0" applyFont="1" applyAlignment="1"/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0" borderId="9" xfId="1" applyFont="1" applyBorder="1" applyAlignment="1" applyProtection="1">
      <alignment vertical="center" shrinkToFit="1"/>
      <protection hidden="1"/>
    </xf>
    <xf numFmtId="3" fontId="13" fillId="0" borderId="9" xfId="0" applyNumberFormat="1" applyFont="1" applyBorder="1" applyAlignment="1">
      <alignment horizontal="center" vertical="center" wrapText="1"/>
    </xf>
    <xf numFmtId="176" fontId="13" fillId="0" borderId="9" xfId="0" applyNumberFormat="1" applyFont="1" applyBorder="1" applyAlignment="1">
      <alignment horizontal="center" vertical="center" wrapText="1"/>
    </xf>
    <xf numFmtId="0" fontId="14" fillId="0" borderId="9" xfId="1" applyFont="1" applyBorder="1" applyAlignment="1" applyProtection="1">
      <alignment vertical="center" shrinkToFit="1"/>
      <protection hidden="1"/>
    </xf>
    <xf numFmtId="0" fontId="3" fillId="0" borderId="0" xfId="0" applyFont="1">
      <alignment vertical="center"/>
    </xf>
    <xf numFmtId="0" fontId="11" fillId="3" borderId="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/>
    <xf numFmtId="2" fontId="13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/>
    <xf numFmtId="177" fontId="13" fillId="0" borderId="9" xfId="0" applyNumberFormat="1" applyFont="1" applyBorder="1" applyAlignment="1">
      <alignment horizontal="center" vertical="center" wrapText="1"/>
    </xf>
    <xf numFmtId="0" fontId="15" fillId="0" borderId="0" xfId="0" applyFont="1" applyAlignment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/>
    <xf numFmtId="3" fontId="17" fillId="0" borderId="0" xfId="0" applyNumberFormat="1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13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22" fillId="0" borderId="0" xfId="0" applyFont="1" applyAlignment="1"/>
    <xf numFmtId="176" fontId="22" fillId="0" borderId="0" xfId="0" applyNumberFormat="1" applyFont="1" applyAlignment="1"/>
    <xf numFmtId="0" fontId="23" fillId="0" borderId="0" xfId="0" applyFont="1" applyAlignment="1"/>
    <xf numFmtId="0" fontId="2" fillId="0" borderId="0" xfId="0" applyFont="1">
      <alignment vertical="center"/>
    </xf>
    <xf numFmtId="0" fontId="4" fillId="0" borderId="0" xfId="1" applyFont="1" applyAlignment="1" applyProtection="1">
      <alignment vertical="center" shrinkToFit="1"/>
      <protection hidden="1"/>
    </xf>
    <xf numFmtId="178" fontId="3" fillId="0" borderId="0" xfId="0" applyNumberFormat="1" applyFont="1">
      <alignment vertical="center"/>
    </xf>
    <xf numFmtId="0" fontId="5" fillId="0" borderId="0" xfId="1" applyFont="1" applyAlignment="1" applyProtection="1">
      <alignment vertical="center" shrinkToFit="1"/>
      <protection hidden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176" fontId="0" fillId="0" borderId="1" xfId="0" applyNumberFormat="1" applyBorder="1" applyAlignment="1"/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標準" xfId="0" builtinId="0"/>
    <cellStyle name="標準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FBFBF"/>
      <rgbColor rgb="FF808080"/>
      <rgbColor rgb="FFB0B0B0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8B8B8B"/>
      <rgbColor rgb="FF1F3864"/>
      <rgbColor rgb="FF4EA72E"/>
      <rgbColor rgb="FF003300"/>
      <rgbColor rgb="FF333300"/>
      <rgbColor rgb="FF993300"/>
      <rgbColor rgb="FF993366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Aptos Narrow"/>
              </a:rPr>
              <a:t>設置台数別 累計離反会員数（点推定＝</a:t>
            </a: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A・B</a:t>
            </a:r>
            <a:r>
              <a:rPr lang="ja-JP" altLang="en-US" sz="1800" b="1" strike="noStrike" spc="-1">
                <a:solidFill>
                  <a:srgbClr val="000000"/>
                </a:solidFill>
                <a:latin typeface="Aptos Narrow"/>
              </a:rPr>
              <a:t>平均）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(3)'!$B$33</c:f>
              <c:strCache>
                <c:ptCount val="1"/>
                <c:pt idx="0">
                  <c:v>1ヶ月未満</c:v>
                </c:pt>
              </c:strCache>
            </c:strRef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'Sheet1 (3)'!$C$32:$AF$32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'Sheet1 (3)'!$C$33:$AF$33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9F-E44C-B2F7-DA62CD2FC470}"/>
            </c:ext>
          </c:extLst>
        </c:ser>
        <c:ser>
          <c:idx val="1"/>
          <c:order val="1"/>
          <c:tx>
            <c:strRef>
              <c:f>'Sheet1 (3)'!$B$34</c:f>
              <c:strCache>
                <c:ptCount val="1"/>
                <c:pt idx="0">
                  <c:v>1〜2ヶ月未満</c:v>
                </c:pt>
              </c:strCache>
            </c:strRef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'Sheet1 (3)'!$C$32:$AF$32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'Sheet1 (3)'!$C$34:$AF$34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9F-E44C-B2F7-DA62CD2FC470}"/>
            </c:ext>
          </c:extLst>
        </c:ser>
        <c:ser>
          <c:idx val="2"/>
          <c:order val="2"/>
          <c:tx>
            <c:strRef>
              <c:f>'Sheet1 (3)'!$B$35</c:f>
              <c:strCache>
                <c:ptCount val="1"/>
                <c:pt idx="0">
                  <c:v>2〜3ヶ月未満</c:v>
                </c:pt>
              </c:strCache>
            </c:strRef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'Sheet1 (3)'!$C$32:$AF$32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'Sheet1 (3)'!$C$35:$AF$35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9F-E44C-B2F7-DA62CD2FC470}"/>
            </c:ext>
          </c:extLst>
        </c:ser>
        <c:ser>
          <c:idx val="3"/>
          <c:order val="3"/>
          <c:tx>
            <c:strRef>
              <c:f>'Sheet1 (3)'!$B$36</c:f>
              <c:strCache>
                <c:ptCount val="1"/>
                <c:pt idx="0">
                  <c:v>3～6ヶ月未満</c:v>
                </c:pt>
              </c:strCache>
            </c:strRef>
          </c:tx>
          <c:spPr>
            <a:ln w="381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'Sheet1 (3)'!$C$32:$AF$32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'Sheet1 (3)'!$C$36:$AF$36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59F-E44C-B2F7-DA62CD2FC470}"/>
            </c:ext>
          </c:extLst>
        </c:ser>
        <c:ser>
          <c:idx val="4"/>
          <c:order val="4"/>
          <c:tx>
            <c:strRef>
              <c:f>'Sheet1 (3)'!$B$37</c:f>
              <c:strCache>
                <c:ptCount val="1"/>
                <c:pt idx="0">
                  <c:v>半年～1年未満</c:v>
                </c:pt>
              </c:strCache>
            </c:strRef>
          </c:tx>
          <c:spPr>
            <a:ln w="3816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'Sheet1 (3)'!$C$32:$AF$32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'Sheet1 (3)'!$C$37:$AF$37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59F-E44C-B2F7-DA62CD2FC470}"/>
            </c:ext>
          </c:extLst>
        </c:ser>
        <c:ser>
          <c:idx val="5"/>
          <c:order val="5"/>
          <c:tx>
            <c:strRef>
              <c:f>'Sheet1 (3)'!$B$38</c:f>
              <c:strCache>
                <c:ptCount val="1"/>
                <c:pt idx="0">
                  <c:v>1年～3年未満</c:v>
                </c:pt>
              </c:strCache>
            </c:strRef>
          </c:tx>
          <c:spPr>
            <a:ln w="38160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'Sheet1 (3)'!$C$32:$AF$32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'Sheet1 (3)'!$C$38:$AF$38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59F-E44C-B2F7-DA62CD2FC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245851"/>
        <c:axId val="82119167"/>
      </c:lineChart>
      <c:catAx>
        <c:axId val="482458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Aptos Narrow"/>
                  </a:rPr>
                  <a:t>設置台数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ja-JP"/>
          </a:p>
        </c:txPr>
        <c:crossAx val="82119167"/>
        <c:crosses val="autoZero"/>
        <c:auto val="1"/>
        <c:lblAlgn val="ctr"/>
        <c:lblOffset val="100"/>
        <c:noMultiLvlLbl val="0"/>
      </c:catAx>
      <c:valAx>
        <c:axId val="8211916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Aptos Narrow"/>
                  </a:rPr>
                  <a:t>累計会員数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Aptos Narrow"/>
                  </a:rPr>
                  <a:t>(</a:t>
                </a:r>
                <a:r>
                  <a:rPr lang="ja-JP" altLang="en-US" sz="1000" b="1" strike="noStrike" spc="-1">
                    <a:solidFill>
                      <a:srgbClr val="000000"/>
                    </a:solidFill>
                    <a:latin typeface="Aptos Narrow"/>
                  </a:rPr>
                  <a:t>人</a:t>
                </a:r>
                <a:r>
                  <a:rPr lang="en-US" altLang="ja-JP" sz="1000" b="1" strike="noStrike" spc="-1">
                    <a:solidFill>
                      <a:srgbClr val="000000"/>
                    </a:solidFill>
                    <a:latin typeface="Aptos Narrow"/>
                  </a:rPr>
                  <a:t>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ja-JP"/>
          </a:p>
        </c:txPr>
        <c:crossAx val="48245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sz="1800" b="1" strike="noStrike" spc="-1">
                <a:solidFill>
                  <a:srgbClr val="000000"/>
                </a:solidFill>
                <a:latin typeface="Aptos Narrow"/>
              </a:rPr>
              <a:t>設置台数別 累計離反会員数（点推定＝A・B平均）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Sheet1!$B$63</c:f>
              <c:strCache>
                <c:ptCount val="1"/>
                <c:pt idx="0">
                  <c:v>1ヶ月未満</c:v>
                </c:pt>
              </c:strCache>
            </c:strRef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Sheet1!$C$62:$AF$62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Sheet1!$C$63:$AF$63</c:f>
              <c:numCache>
                <c:formatCode>#,##0</c:formatCode>
                <c:ptCount val="30"/>
                <c:pt idx="0">
                  <c:v>255</c:v>
                </c:pt>
                <c:pt idx="1">
                  <c:v>510</c:v>
                </c:pt>
                <c:pt idx="2">
                  <c:v>765</c:v>
                </c:pt>
                <c:pt idx="3">
                  <c:v>1020</c:v>
                </c:pt>
                <c:pt idx="4">
                  <c:v>1275</c:v>
                </c:pt>
                <c:pt idx="5">
                  <c:v>1530</c:v>
                </c:pt>
                <c:pt idx="6">
                  <c:v>1785</c:v>
                </c:pt>
                <c:pt idx="7">
                  <c:v>2040</c:v>
                </c:pt>
                <c:pt idx="8">
                  <c:v>2295</c:v>
                </c:pt>
                <c:pt idx="9">
                  <c:v>2550</c:v>
                </c:pt>
                <c:pt idx="10">
                  <c:v>2805</c:v>
                </c:pt>
                <c:pt idx="11">
                  <c:v>3060</c:v>
                </c:pt>
                <c:pt idx="12">
                  <c:v>3314</c:v>
                </c:pt>
                <c:pt idx="13">
                  <c:v>3569</c:v>
                </c:pt>
                <c:pt idx="14">
                  <c:v>3824</c:v>
                </c:pt>
                <c:pt idx="15">
                  <c:v>4079</c:v>
                </c:pt>
                <c:pt idx="16">
                  <c:v>4334</c:v>
                </c:pt>
                <c:pt idx="17">
                  <c:v>4589</c:v>
                </c:pt>
                <c:pt idx="18">
                  <c:v>4844</c:v>
                </c:pt>
                <c:pt idx="19">
                  <c:v>5099</c:v>
                </c:pt>
                <c:pt idx="20">
                  <c:v>5354</c:v>
                </c:pt>
                <c:pt idx="21">
                  <c:v>5609</c:v>
                </c:pt>
                <c:pt idx="22">
                  <c:v>5864</c:v>
                </c:pt>
                <c:pt idx="23">
                  <c:v>6119</c:v>
                </c:pt>
                <c:pt idx="24">
                  <c:v>6374</c:v>
                </c:pt>
                <c:pt idx="25">
                  <c:v>6629</c:v>
                </c:pt>
                <c:pt idx="26">
                  <c:v>6884</c:v>
                </c:pt>
                <c:pt idx="27">
                  <c:v>7139</c:v>
                </c:pt>
                <c:pt idx="28">
                  <c:v>7394</c:v>
                </c:pt>
                <c:pt idx="29">
                  <c:v>7649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FF-C144-A0B8-366F56DB2F3D}"/>
            </c:ext>
          </c:extLst>
        </c:ser>
        <c:ser>
          <c:idx val="1"/>
          <c:order val="1"/>
          <c:tx>
            <c:strRef>
              <c:f>Sheet1!$B$64</c:f>
              <c:strCache>
                <c:ptCount val="1"/>
                <c:pt idx="0">
                  <c:v>1〜2ヶ月未満</c:v>
                </c:pt>
              </c:strCache>
            </c:strRef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Sheet1!$C$62:$AF$62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Sheet1!$C$64:$AF$64</c:f>
              <c:numCache>
                <c:formatCode>#,##0</c:formatCode>
                <c:ptCount val="30"/>
                <c:pt idx="0">
                  <c:v>296</c:v>
                </c:pt>
                <c:pt idx="1">
                  <c:v>592</c:v>
                </c:pt>
                <c:pt idx="2">
                  <c:v>888</c:v>
                </c:pt>
                <c:pt idx="3">
                  <c:v>1184</c:v>
                </c:pt>
                <c:pt idx="4">
                  <c:v>1480</c:v>
                </c:pt>
                <c:pt idx="5">
                  <c:v>1776</c:v>
                </c:pt>
                <c:pt idx="6">
                  <c:v>2072</c:v>
                </c:pt>
                <c:pt idx="7">
                  <c:v>2368</c:v>
                </c:pt>
                <c:pt idx="8">
                  <c:v>2664</c:v>
                </c:pt>
                <c:pt idx="9">
                  <c:v>2960</c:v>
                </c:pt>
                <c:pt idx="10">
                  <c:v>3256</c:v>
                </c:pt>
                <c:pt idx="11">
                  <c:v>3552</c:v>
                </c:pt>
                <c:pt idx="12">
                  <c:v>3848</c:v>
                </c:pt>
                <c:pt idx="13">
                  <c:v>4144</c:v>
                </c:pt>
                <c:pt idx="14">
                  <c:v>4440</c:v>
                </c:pt>
                <c:pt idx="15">
                  <c:v>4736</c:v>
                </c:pt>
                <c:pt idx="16">
                  <c:v>5032</c:v>
                </c:pt>
                <c:pt idx="17">
                  <c:v>5328</c:v>
                </c:pt>
                <c:pt idx="18">
                  <c:v>5624</c:v>
                </c:pt>
                <c:pt idx="19">
                  <c:v>5920</c:v>
                </c:pt>
                <c:pt idx="20">
                  <c:v>6216</c:v>
                </c:pt>
                <c:pt idx="21">
                  <c:v>6512</c:v>
                </c:pt>
                <c:pt idx="22">
                  <c:v>6808</c:v>
                </c:pt>
                <c:pt idx="23">
                  <c:v>7104</c:v>
                </c:pt>
                <c:pt idx="24">
                  <c:v>7400</c:v>
                </c:pt>
                <c:pt idx="25">
                  <c:v>7696</c:v>
                </c:pt>
                <c:pt idx="26">
                  <c:v>7992</c:v>
                </c:pt>
                <c:pt idx="27">
                  <c:v>8288</c:v>
                </c:pt>
                <c:pt idx="28">
                  <c:v>8584</c:v>
                </c:pt>
                <c:pt idx="29">
                  <c:v>8880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FF-C144-A0B8-366F56DB2F3D}"/>
            </c:ext>
          </c:extLst>
        </c:ser>
        <c:ser>
          <c:idx val="2"/>
          <c:order val="2"/>
          <c:tx>
            <c:strRef>
              <c:f>Sheet1!$B$65</c:f>
              <c:strCache>
                <c:ptCount val="1"/>
                <c:pt idx="0">
                  <c:v>2〜3ヶ月未満</c:v>
                </c:pt>
              </c:strCache>
            </c:strRef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Sheet1!$C$62:$AF$62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Sheet1!$C$65:$AF$65</c:f>
              <c:numCache>
                <c:formatCode>#,##0</c:formatCode>
                <c:ptCount val="30"/>
                <c:pt idx="0">
                  <c:v>321</c:v>
                </c:pt>
                <c:pt idx="1">
                  <c:v>641</c:v>
                </c:pt>
                <c:pt idx="2">
                  <c:v>962</c:v>
                </c:pt>
                <c:pt idx="3">
                  <c:v>1282</c:v>
                </c:pt>
                <c:pt idx="4">
                  <c:v>1603</c:v>
                </c:pt>
                <c:pt idx="5">
                  <c:v>1924</c:v>
                </c:pt>
                <c:pt idx="6">
                  <c:v>2244</c:v>
                </c:pt>
                <c:pt idx="7">
                  <c:v>2565</c:v>
                </c:pt>
                <c:pt idx="8">
                  <c:v>2885</c:v>
                </c:pt>
                <c:pt idx="9">
                  <c:v>3206</c:v>
                </c:pt>
                <c:pt idx="10">
                  <c:v>3527</c:v>
                </c:pt>
                <c:pt idx="11">
                  <c:v>3847</c:v>
                </c:pt>
                <c:pt idx="12">
                  <c:v>4168</c:v>
                </c:pt>
                <c:pt idx="13">
                  <c:v>4488</c:v>
                </c:pt>
                <c:pt idx="14">
                  <c:v>4809</c:v>
                </c:pt>
                <c:pt idx="15">
                  <c:v>5130</c:v>
                </c:pt>
                <c:pt idx="16">
                  <c:v>5450</c:v>
                </c:pt>
                <c:pt idx="17">
                  <c:v>5771</c:v>
                </c:pt>
                <c:pt idx="18">
                  <c:v>6091</c:v>
                </c:pt>
                <c:pt idx="19">
                  <c:v>6412</c:v>
                </c:pt>
                <c:pt idx="20">
                  <c:v>6733</c:v>
                </c:pt>
                <c:pt idx="21">
                  <c:v>7053</c:v>
                </c:pt>
                <c:pt idx="22">
                  <c:v>7374</c:v>
                </c:pt>
                <c:pt idx="23">
                  <c:v>7694</c:v>
                </c:pt>
                <c:pt idx="24">
                  <c:v>8015</c:v>
                </c:pt>
                <c:pt idx="25">
                  <c:v>8336</c:v>
                </c:pt>
                <c:pt idx="26">
                  <c:v>8656</c:v>
                </c:pt>
                <c:pt idx="27">
                  <c:v>8977</c:v>
                </c:pt>
                <c:pt idx="28">
                  <c:v>9297</c:v>
                </c:pt>
                <c:pt idx="29">
                  <c:v>9618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1FF-C144-A0B8-366F56DB2F3D}"/>
            </c:ext>
          </c:extLst>
        </c:ser>
        <c:ser>
          <c:idx val="3"/>
          <c:order val="3"/>
          <c:tx>
            <c:strRef>
              <c:f>Sheet1!$B$66</c:f>
              <c:strCache>
                <c:ptCount val="1"/>
                <c:pt idx="0">
                  <c:v>3～6ヶ月未満</c:v>
                </c:pt>
              </c:strCache>
            </c:strRef>
          </c:tx>
          <c:spPr>
            <a:ln w="3816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Sheet1!$C$62:$AF$62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Sheet1!$C$66:$AF$66</c:f>
              <c:numCache>
                <c:formatCode>#,##0</c:formatCode>
                <c:ptCount val="30"/>
                <c:pt idx="0">
                  <c:v>442</c:v>
                </c:pt>
                <c:pt idx="1">
                  <c:v>885</c:v>
                </c:pt>
                <c:pt idx="2">
                  <c:v>1327</c:v>
                </c:pt>
                <c:pt idx="3">
                  <c:v>1770</c:v>
                </c:pt>
                <c:pt idx="4">
                  <c:v>2212</c:v>
                </c:pt>
                <c:pt idx="5">
                  <c:v>2655</c:v>
                </c:pt>
                <c:pt idx="6">
                  <c:v>3097</c:v>
                </c:pt>
                <c:pt idx="7">
                  <c:v>3540</c:v>
                </c:pt>
                <c:pt idx="8">
                  <c:v>3982</c:v>
                </c:pt>
                <c:pt idx="9">
                  <c:v>4425</c:v>
                </c:pt>
                <c:pt idx="10">
                  <c:v>4867</c:v>
                </c:pt>
                <c:pt idx="11">
                  <c:v>5310</c:v>
                </c:pt>
                <c:pt idx="12">
                  <c:v>5752</c:v>
                </c:pt>
                <c:pt idx="13">
                  <c:v>6195</c:v>
                </c:pt>
                <c:pt idx="14">
                  <c:v>6637</c:v>
                </c:pt>
                <c:pt idx="15">
                  <c:v>7079</c:v>
                </c:pt>
                <c:pt idx="16">
                  <c:v>7522</c:v>
                </c:pt>
                <c:pt idx="17">
                  <c:v>7964</c:v>
                </c:pt>
                <c:pt idx="18">
                  <c:v>8407</c:v>
                </c:pt>
                <c:pt idx="19">
                  <c:v>8849</c:v>
                </c:pt>
                <c:pt idx="20">
                  <c:v>9292</c:v>
                </c:pt>
                <c:pt idx="21">
                  <c:v>9734</c:v>
                </c:pt>
                <c:pt idx="22">
                  <c:v>10177</c:v>
                </c:pt>
                <c:pt idx="23">
                  <c:v>10619</c:v>
                </c:pt>
                <c:pt idx="24">
                  <c:v>11062</c:v>
                </c:pt>
                <c:pt idx="25">
                  <c:v>11504</c:v>
                </c:pt>
                <c:pt idx="26">
                  <c:v>11947</c:v>
                </c:pt>
                <c:pt idx="27">
                  <c:v>12389</c:v>
                </c:pt>
                <c:pt idx="28">
                  <c:v>12832</c:v>
                </c:pt>
                <c:pt idx="29">
                  <c:v>13274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1FF-C144-A0B8-366F56DB2F3D}"/>
            </c:ext>
          </c:extLst>
        </c:ser>
        <c:ser>
          <c:idx val="4"/>
          <c:order val="4"/>
          <c:tx>
            <c:strRef>
              <c:f>Sheet1!$B$67</c:f>
              <c:strCache>
                <c:ptCount val="1"/>
                <c:pt idx="0">
                  <c:v>半年～1年未満</c:v>
                </c:pt>
              </c:strCache>
            </c:strRef>
          </c:tx>
          <c:spPr>
            <a:ln w="3816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Sheet1!$C$62:$AF$62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Sheet1!$C$67:$AF$67</c:f>
              <c:numCache>
                <c:formatCode>#,##0</c:formatCode>
                <c:ptCount val="30"/>
                <c:pt idx="0">
                  <c:v>513</c:v>
                </c:pt>
                <c:pt idx="1">
                  <c:v>1026</c:v>
                </c:pt>
                <c:pt idx="2">
                  <c:v>1539</c:v>
                </c:pt>
                <c:pt idx="3">
                  <c:v>2052</c:v>
                </c:pt>
                <c:pt idx="4">
                  <c:v>2565</c:v>
                </c:pt>
                <c:pt idx="5">
                  <c:v>3078</c:v>
                </c:pt>
                <c:pt idx="6">
                  <c:v>3591</c:v>
                </c:pt>
                <c:pt idx="7">
                  <c:v>4104</c:v>
                </c:pt>
                <c:pt idx="8">
                  <c:v>4617</c:v>
                </c:pt>
                <c:pt idx="9">
                  <c:v>5129</c:v>
                </c:pt>
                <c:pt idx="10">
                  <c:v>5642</c:v>
                </c:pt>
                <c:pt idx="11">
                  <c:v>6155</c:v>
                </c:pt>
                <c:pt idx="12">
                  <c:v>6668</c:v>
                </c:pt>
                <c:pt idx="13">
                  <c:v>7181</c:v>
                </c:pt>
                <c:pt idx="14">
                  <c:v>7694</c:v>
                </c:pt>
                <c:pt idx="15">
                  <c:v>8207</c:v>
                </c:pt>
                <c:pt idx="16">
                  <c:v>8720</c:v>
                </c:pt>
                <c:pt idx="17">
                  <c:v>9233</c:v>
                </c:pt>
                <c:pt idx="18">
                  <c:v>9746</c:v>
                </c:pt>
                <c:pt idx="19">
                  <c:v>10259</c:v>
                </c:pt>
                <c:pt idx="20">
                  <c:v>10772</c:v>
                </c:pt>
                <c:pt idx="21">
                  <c:v>11285</c:v>
                </c:pt>
                <c:pt idx="22">
                  <c:v>11798</c:v>
                </c:pt>
                <c:pt idx="23">
                  <c:v>12311</c:v>
                </c:pt>
                <c:pt idx="24">
                  <c:v>12824</c:v>
                </c:pt>
                <c:pt idx="25">
                  <c:v>13337</c:v>
                </c:pt>
                <c:pt idx="26">
                  <c:v>13850</c:v>
                </c:pt>
                <c:pt idx="27">
                  <c:v>14363</c:v>
                </c:pt>
                <c:pt idx="28">
                  <c:v>14876</c:v>
                </c:pt>
                <c:pt idx="29">
                  <c:v>15388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1FF-C144-A0B8-366F56DB2F3D}"/>
            </c:ext>
          </c:extLst>
        </c:ser>
        <c:ser>
          <c:idx val="5"/>
          <c:order val="5"/>
          <c:tx>
            <c:strRef>
              <c:f>Sheet1!$B$68</c:f>
              <c:strCache>
                <c:ptCount val="1"/>
                <c:pt idx="0">
                  <c:v>1年～3年未満</c:v>
                </c:pt>
              </c:strCache>
            </c:strRef>
          </c:tx>
          <c:spPr>
            <a:ln w="38160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Sheet1!$C$62:$AF$62</c:f>
              <c:numCache>
                <c:formatCode>General</c:formatCode>
                <c:ptCount val="3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</c:numCache>
            </c:numRef>
          </c:cat>
          <c:val>
            <c:numRef>
              <c:f>Sheet1!$C$68:$AF$68</c:f>
              <c:numCache>
                <c:formatCode>#,##0</c:formatCode>
                <c:ptCount val="30"/>
                <c:pt idx="0">
                  <c:v>636</c:v>
                </c:pt>
                <c:pt idx="1">
                  <c:v>1271</c:v>
                </c:pt>
                <c:pt idx="2">
                  <c:v>1907</c:v>
                </c:pt>
                <c:pt idx="3">
                  <c:v>2543</c:v>
                </c:pt>
                <c:pt idx="4">
                  <c:v>3179</c:v>
                </c:pt>
                <c:pt idx="5">
                  <c:v>3814</c:v>
                </c:pt>
                <c:pt idx="6">
                  <c:v>4450</c:v>
                </c:pt>
                <c:pt idx="7">
                  <c:v>5086</c:v>
                </c:pt>
                <c:pt idx="8">
                  <c:v>5721</c:v>
                </c:pt>
                <c:pt idx="9">
                  <c:v>6357</c:v>
                </c:pt>
                <c:pt idx="10">
                  <c:v>6993</c:v>
                </c:pt>
                <c:pt idx="11">
                  <c:v>7629</c:v>
                </c:pt>
                <c:pt idx="12">
                  <c:v>8264</c:v>
                </c:pt>
                <c:pt idx="13">
                  <c:v>8900</c:v>
                </c:pt>
                <c:pt idx="14">
                  <c:v>9536</c:v>
                </c:pt>
                <c:pt idx="15">
                  <c:v>10171</c:v>
                </c:pt>
                <c:pt idx="16">
                  <c:v>10807</c:v>
                </c:pt>
                <c:pt idx="17">
                  <c:v>11443</c:v>
                </c:pt>
                <c:pt idx="18">
                  <c:v>12078</c:v>
                </c:pt>
                <c:pt idx="19">
                  <c:v>12714</c:v>
                </c:pt>
                <c:pt idx="20">
                  <c:v>13350</c:v>
                </c:pt>
                <c:pt idx="21">
                  <c:v>13986</c:v>
                </c:pt>
                <c:pt idx="22">
                  <c:v>14621</c:v>
                </c:pt>
                <c:pt idx="23">
                  <c:v>15257</c:v>
                </c:pt>
                <c:pt idx="24">
                  <c:v>15893</c:v>
                </c:pt>
                <c:pt idx="25">
                  <c:v>16528</c:v>
                </c:pt>
                <c:pt idx="26">
                  <c:v>17164</c:v>
                </c:pt>
                <c:pt idx="27">
                  <c:v>17800</c:v>
                </c:pt>
                <c:pt idx="28">
                  <c:v>18436</c:v>
                </c:pt>
                <c:pt idx="29">
                  <c:v>19071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1FF-C144-A0B8-366F56DB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245851"/>
        <c:axId val="82119167"/>
      </c:lineChart>
      <c:catAx>
        <c:axId val="482458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設置台数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ja-JP"/>
          </a:p>
        </c:txPr>
        <c:crossAx val="82119167"/>
        <c:crosses val="autoZero"/>
        <c:auto val="1"/>
        <c:lblAlgn val="ctr"/>
        <c:lblOffset val="100"/>
        <c:noMultiLvlLbl val="0"/>
      </c:catAx>
      <c:valAx>
        <c:axId val="82119167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Aptos Narrow"/>
                  </a:rPr>
                  <a:t>累計会員数(人)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ja-JP"/>
          </a:p>
        </c:txPr>
        <c:crossAx val="482458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Aptos Narrow"/>
              </a:rPr>
              <a:t>離反割合カーブと店舗間バンド（季節平準化）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離反割合バンド!$B$4</c:f>
              <c:strCache>
                <c:ptCount val="1"/>
                <c:pt idx="0">
                  <c:v>割合 下限</c:v>
                </c:pt>
              </c:strCache>
            </c:strRef>
          </c:tx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離反割合バンド!$A$5:$A$10</c:f>
              <c:strCache>
                <c:ptCount val="6"/>
                <c:pt idx="0">
                  <c:v>1ヶ月未満</c:v>
                </c:pt>
                <c:pt idx="1">
                  <c:v>1〜2ヶ月未満</c:v>
                </c:pt>
                <c:pt idx="2">
                  <c:v>2〜3ヶ月未満</c:v>
                </c:pt>
                <c:pt idx="3">
                  <c:v>3～6ヶ月未満</c:v>
                </c:pt>
                <c:pt idx="4">
                  <c:v>半年～1年未満</c:v>
                </c:pt>
                <c:pt idx="5">
                  <c:v>1年～3年未満</c:v>
                </c:pt>
              </c:strCache>
            </c:strRef>
          </c:cat>
          <c:val>
            <c:numRef>
              <c:f>離反割合バンド!$B$5:$B$10</c:f>
              <c:numCache>
                <c:formatCode>0.0%</c:formatCode>
                <c:ptCount val="6"/>
                <c:pt idx="0">
                  <c:v>0.31807655938018509</c:v>
                </c:pt>
                <c:pt idx="1">
                  <c:v>0.37638084767569391</c:v>
                </c:pt>
                <c:pt idx="2">
                  <c:v>0.41397989081526476</c:v>
                </c:pt>
                <c:pt idx="3">
                  <c:v>0.6062072892938497</c:v>
                </c:pt>
                <c:pt idx="4">
                  <c:v>0.72007152725048518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540-4D47-8418-0C8502049379}"/>
            </c:ext>
          </c:extLst>
        </c:ser>
        <c:ser>
          <c:idx val="1"/>
          <c:order val="1"/>
          <c:tx>
            <c:strRef>
              <c:f>離反割合バンド!$C$4</c:f>
              <c:strCache>
                <c:ptCount val="1"/>
                <c:pt idx="0">
                  <c:v>割合 点推定(平均)</c:v>
                </c:pt>
              </c:strCache>
            </c:strRef>
          </c:tx>
          <c:spPr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離反割合バンド!$A$5:$A$10</c:f>
              <c:strCache>
                <c:ptCount val="6"/>
                <c:pt idx="0">
                  <c:v>1ヶ月未満</c:v>
                </c:pt>
                <c:pt idx="1">
                  <c:v>1〜2ヶ月未満</c:v>
                </c:pt>
                <c:pt idx="2">
                  <c:v>2〜3ヶ月未満</c:v>
                </c:pt>
                <c:pt idx="3">
                  <c:v>3～6ヶ月未満</c:v>
                </c:pt>
                <c:pt idx="4">
                  <c:v>半年～1年未満</c:v>
                </c:pt>
                <c:pt idx="5">
                  <c:v>1年～3年未満</c:v>
                </c:pt>
              </c:strCache>
            </c:strRef>
          </c:cat>
          <c:val>
            <c:numRef>
              <c:f>離反割合バンド!$C$5:$C$10</c:f>
              <c:numCache>
                <c:formatCode>0.0%</c:formatCode>
                <c:ptCount val="6"/>
                <c:pt idx="0">
                  <c:v>0.40106459842921294</c:v>
                </c:pt>
                <c:pt idx="1">
                  <c:v>0.46560349231188758</c:v>
                </c:pt>
                <c:pt idx="2">
                  <c:v>0.5043179508951745</c:v>
                </c:pt>
                <c:pt idx="3">
                  <c:v>0.69602216360136104</c:v>
                </c:pt>
                <c:pt idx="4">
                  <c:v>0.80689156782736871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540-4D47-8418-0C8502049379}"/>
            </c:ext>
          </c:extLst>
        </c:ser>
        <c:ser>
          <c:idx val="2"/>
          <c:order val="2"/>
          <c:tx>
            <c:strRef>
              <c:f>離反割合バンド!$D$4</c:f>
              <c:strCache>
                <c:ptCount val="1"/>
                <c:pt idx="0">
                  <c:v>割合 上限</c:v>
                </c:pt>
              </c:strCache>
            </c:strRef>
          </c:tx>
          <c:spPr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離反割合バンド!$A$5:$A$10</c:f>
              <c:strCache>
                <c:ptCount val="6"/>
                <c:pt idx="0">
                  <c:v>1ヶ月未満</c:v>
                </c:pt>
                <c:pt idx="1">
                  <c:v>1〜2ヶ月未満</c:v>
                </c:pt>
                <c:pt idx="2">
                  <c:v>2〜3ヶ月未満</c:v>
                </c:pt>
                <c:pt idx="3">
                  <c:v>3～6ヶ月未満</c:v>
                </c:pt>
                <c:pt idx="4">
                  <c:v>半年～1年未満</c:v>
                </c:pt>
                <c:pt idx="5">
                  <c:v>1年～3年未満</c:v>
                </c:pt>
              </c:strCache>
            </c:strRef>
          </c:cat>
          <c:val>
            <c:numRef>
              <c:f>離反割合バンド!$D$5:$D$10</c:f>
              <c:numCache>
                <c:formatCode>0.0%</c:formatCode>
                <c:ptCount val="6"/>
                <c:pt idx="0">
                  <c:v>0.45086085213338967</c:v>
                </c:pt>
                <c:pt idx="1">
                  <c:v>0.51572974837609498</c:v>
                </c:pt>
                <c:pt idx="2">
                  <c:v>0.54902029449601364</c:v>
                </c:pt>
                <c:pt idx="3">
                  <c:v>0.75727191190223953</c:v>
                </c:pt>
                <c:pt idx="4">
                  <c:v>0.90158210317783705</c:v>
                </c:pt>
                <c:pt idx="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540-4D47-8418-0C8502049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509414"/>
        <c:axId val="46466700"/>
      </c:lineChart>
      <c:catAx>
        <c:axId val="43509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Aptos Narrow"/>
                  </a:rPr>
                  <a:t>離反期間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ja-JP"/>
          </a:p>
        </c:txPr>
        <c:crossAx val="46466700"/>
        <c:crosses val="autoZero"/>
        <c:auto val="1"/>
        <c:lblAlgn val="ctr"/>
        <c:lblOffset val="100"/>
        <c:noMultiLvlLbl val="0"/>
      </c:catAx>
      <c:valAx>
        <c:axId val="4646670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Aptos Narrow"/>
                  </a:rPr>
                  <a:t>累計離反割合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ja-JP"/>
          </a:p>
        </c:txPr>
        <c:crossAx val="43509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157680</xdr:rowOff>
    </xdr:from>
    <xdr:to>
      <xdr:col>9</xdr:col>
      <xdr:colOff>478800</xdr:colOff>
      <xdr:row>52</xdr:row>
      <xdr:rowOff>177840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D6A5C-720E-4E4A-9BE0-64CE9B20F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157680</xdr:rowOff>
    </xdr:from>
    <xdr:to>
      <xdr:col>9</xdr:col>
      <xdr:colOff>478800</xdr:colOff>
      <xdr:row>82</xdr:row>
      <xdr:rowOff>177840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12</xdr:col>
      <xdr:colOff>67320</xdr:colOff>
      <xdr:row>17</xdr:row>
      <xdr:rowOff>46440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C65B-5545-7741-9FDE-7D6B06187C93}">
  <dimension ref="A1:BJ38"/>
  <sheetViews>
    <sheetView showGridLines="0" tabSelected="1" zoomScale="110" zoomScaleNormal="110" workbookViewId="0">
      <selection activeCell="F14" sqref="F14"/>
    </sheetView>
  </sheetViews>
  <sheetFormatPr baseColWidth="10" defaultColWidth="10.42578125" defaultRowHeight="20"/>
  <cols>
    <col min="1" max="1" width="26" style="2" customWidth="1"/>
    <col min="2" max="2" width="14" style="2" customWidth="1"/>
    <col min="3" max="62" width="10" style="2" customWidth="1"/>
  </cols>
  <sheetData>
    <row r="1" spans="1:62">
      <c r="B1" s="50" t="s">
        <v>115</v>
      </c>
      <c r="C1" s="51">
        <v>100</v>
      </c>
      <c r="D1" s="51"/>
      <c r="E1" s="51">
        <v>200</v>
      </c>
      <c r="F1" s="51"/>
      <c r="G1" s="53">
        <v>300</v>
      </c>
      <c r="H1" s="54"/>
      <c r="I1" s="53">
        <v>400</v>
      </c>
      <c r="J1" s="54"/>
      <c r="K1" s="53">
        <v>500</v>
      </c>
      <c r="L1" s="54"/>
      <c r="M1" s="53">
        <v>600</v>
      </c>
      <c r="N1" s="54"/>
      <c r="O1" s="53">
        <v>700</v>
      </c>
      <c r="P1" s="54"/>
      <c r="Q1" s="53">
        <v>800</v>
      </c>
      <c r="R1" s="54"/>
      <c r="S1" s="53">
        <v>900</v>
      </c>
      <c r="T1" s="54"/>
      <c r="U1" s="53">
        <v>1000</v>
      </c>
      <c r="V1" s="54"/>
      <c r="W1" s="53">
        <v>1100</v>
      </c>
      <c r="X1" s="54"/>
      <c r="Y1" s="53">
        <v>1200</v>
      </c>
      <c r="Z1" s="54"/>
      <c r="AA1" s="53">
        <v>1300</v>
      </c>
      <c r="AB1" s="54"/>
      <c r="AC1" s="53">
        <v>1400</v>
      </c>
      <c r="AD1" s="54"/>
      <c r="AE1" s="53">
        <v>1500</v>
      </c>
      <c r="AF1" s="54"/>
      <c r="AG1" s="53">
        <v>1600</v>
      </c>
      <c r="AH1" s="54"/>
      <c r="AI1" s="53">
        <v>1700</v>
      </c>
      <c r="AJ1" s="54"/>
      <c r="AK1" s="53">
        <v>1800</v>
      </c>
      <c r="AL1" s="54"/>
      <c r="AM1" s="53">
        <v>1900</v>
      </c>
      <c r="AN1" s="54"/>
      <c r="AO1" s="53">
        <v>2000</v>
      </c>
      <c r="AP1" s="54"/>
      <c r="AQ1" s="53">
        <v>2100</v>
      </c>
      <c r="AR1" s="54"/>
      <c r="AS1" s="53">
        <v>2200</v>
      </c>
      <c r="AT1" s="54"/>
      <c r="AU1" s="53">
        <v>2300</v>
      </c>
      <c r="AV1" s="54"/>
      <c r="AW1" s="53">
        <v>2400</v>
      </c>
      <c r="AX1" s="54"/>
      <c r="AY1" s="53">
        <v>2500</v>
      </c>
      <c r="AZ1" s="54"/>
      <c r="BA1" s="53">
        <v>2600</v>
      </c>
      <c r="BB1" s="54"/>
      <c r="BC1" s="53">
        <v>2700</v>
      </c>
      <c r="BD1" s="54"/>
      <c r="BE1" s="53">
        <v>2800</v>
      </c>
      <c r="BF1" s="54"/>
      <c r="BG1" s="53">
        <v>2900</v>
      </c>
      <c r="BH1" s="54"/>
      <c r="BI1" s="53">
        <v>3000</v>
      </c>
      <c r="BJ1" s="54"/>
    </row>
    <row r="2" spans="1:62">
      <c r="A2" s="2" t="s">
        <v>116</v>
      </c>
      <c r="B2" s="50" t="s">
        <v>2</v>
      </c>
      <c r="C2" s="50" t="s">
        <v>117</v>
      </c>
      <c r="D2" s="50" t="s">
        <v>118</v>
      </c>
      <c r="E2" s="50" t="s">
        <v>119</v>
      </c>
      <c r="F2" s="50" t="s">
        <v>118</v>
      </c>
      <c r="G2" s="50" t="s">
        <v>120</v>
      </c>
      <c r="H2" s="50" t="s">
        <v>118</v>
      </c>
      <c r="I2" s="50" t="s">
        <v>121</v>
      </c>
      <c r="J2" s="50" t="s">
        <v>118</v>
      </c>
      <c r="K2" s="50" t="s">
        <v>122</v>
      </c>
      <c r="L2" s="50" t="s">
        <v>118</v>
      </c>
      <c r="M2" s="50" t="s">
        <v>123</v>
      </c>
      <c r="N2" s="50" t="s">
        <v>118</v>
      </c>
      <c r="O2" s="50" t="s">
        <v>124</v>
      </c>
      <c r="P2" s="50" t="s">
        <v>118</v>
      </c>
      <c r="Q2" s="50" t="s">
        <v>125</v>
      </c>
      <c r="R2" s="50" t="s">
        <v>118</v>
      </c>
      <c r="S2" s="50" t="s">
        <v>126</v>
      </c>
      <c r="T2" s="50" t="s">
        <v>118</v>
      </c>
      <c r="U2" s="50" t="s">
        <v>127</v>
      </c>
      <c r="V2" s="50" t="s">
        <v>118</v>
      </c>
      <c r="W2" s="50" t="s">
        <v>128</v>
      </c>
      <c r="X2" s="50" t="s">
        <v>118</v>
      </c>
      <c r="Y2" s="50" t="s">
        <v>129</v>
      </c>
      <c r="Z2" s="50" t="s">
        <v>118</v>
      </c>
      <c r="AA2" s="50" t="s">
        <v>130</v>
      </c>
      <c r="AB2" s="50" t="s">
        <v>118</v>
      </c>
      <c r="AC2" s="50" t="s">
        <v>131</v>
      </c>
      <c r="AD2" s="50" t="s">
        <v>118</v>
      </c>
      <c r="AE2" s="50" t="s">
        <v>132</v>
      </c>
      <c r="AF2" s="50" t="s">
        <v>118</v>
      </c>
      <c r="AG2" s="50" t="s">
        <v>133</v>
      </c>
      <c r="AH2" s="50" t="s">
        <v>118</v>
      </c>
      <c r="AI2" s="50" t="s">
        <v>134</v>
      </c>
      <c r="AJ2" s="50" t="s">
        <v>118</v>
      </c>
      <c r="AK2" s="50" t="s">
        <v>135</v>
      </c>
      <c r="AL2" s="50" t="s">
        <v>118</v>
      </c>
      <c r="AM2" s="50" t="s">
        <v>136</v>
      </c>
      <c r="AN2" s="50" t="s">
        <v>118</v>
      </c>
      <c r="AO2" s="50" t="s">
        <v>137</v>
      </c>
      <c r="AP2" s="50" t="s">
        <v>118</v>
      </c>
      <c r="AQ2" s="50" t="s">
        <v>138</v>
      </c>
      <c r="AR2" s="50" t="s">
        <v>118</v>
      </c>
      <c r="AS2" s="50" t="s">
        <v>139</v>
      </c>
      <c r="AT2" s="50" t="s">
        <v>118</v>
      </c>
      <c r="AU2" s="50" t="s">
        <v>140</v>
      </c>
      <c r="AV2" s="50" t="s">
        <v>118</v>
      </c>
      <c r="AW2" s="50" t="s">
        <v>141</v>
      </c>
      <c r="AX2" s="50" t="s">
        <v>118</v>
      </c>
      <c r="AY2" s="50" t="s">
        <v>142</v>
      </c>
      <c r="AZ2" s="50" t="s">
        <v>118</v>
      </c>
      <c r="BA2" s="50" t="s">
        <v>143</v>
      </c>
      <c r="BB2" s="50" t="s">
        <v>118</v>
      </c>
      <c r="BC2" s="50" t="s">
        <v>144</v>
      </c>
      <c r="BD2" s="50" t="s">
        <v>118</v>
      </c>
      <c r="BE2" s="50" t="s">
        <v>145</v>
      </c>
      <c r="BF2" s="50" t="s">
        <v>118</v>
      </c>
      <c r="BG2" s="50" t="s">
        <v>146</v>
      </c>
      <c r="BH2" s="50" t="s">
        <v>118</v>
      </c>
      <c r="BI2" s="50" t="s">
        <v>147</v>
      </c>
      <c r="BJ2" s="50" t="s">
        <v>118</v>
      </c>
    </row>
    <row r="3" spans="1:62">
      <c r="B3" s="50" t="s">
        <v>148</v>
      </c>
      <c r="C3" s="50">
        <v>255</v>
      </c>
      <c r="D3" s="52">
        <v>0.40106459842921294</v>
      </c>
      <c r="E3" s="50">
        <v>510</v>
      </c>
      <c r="F3" s="52">
        <v>0.40106459842921294</v>
      </c>
      <c r="G3" s="50">
        <v>765</v>
      </c>
      <c r="H3" s="52">
        <v>0.40106459842921294</v>
      </c>
      <c r="I3" s="50">
        <v>1020</v>
      </c>
      <c r="J3" s="52">
        <v>0.40106459842921294</v>
      </c>
      <c r="K3" s="50">
        <v>1275</v>
      </c>
      <c r="L3" s="52">
        <v>0.40106459842921294</v>
      </c>
      <c r="M3" s="50">
        <v>1530</v>
      </c>
      <c r="N3" s="52">
        <v>0.40106459842921294</v>
      </c>
      <c r="O3" s="50">
        <v>1785</v>
      </c>
      <c r="P3" s="52">
        <v>0.40106459842921294</v>
      </c>
      <c r="Q3" s="50">
        <v>2040</v>
      </c>
      <c r="R3" s="52">
        <v>0.40106459842921294</v>
      </c>
      <c r="S3" s="50">
        <v>2295</v>
      </c>
      <c r="T3" s="52">
        <v>0.40106459842921294</v>
      </c>
      <c r="U3" s="50">
        <v>2550</v>
      </c>
      <c r="V3" s="52">
        <v>0.40106459842921294</v>
      </c>
      <c r="W3" s="50">
        <v>2805</v>
      </c>
      <c r="X3" s="52">
        <v>0.40106459842921294</v>
      </c>
      <c r="Y3" s="50">
        <v>3060</v>
      </c>
      <c r="Z3" s="52">
        <v>0.40106459842921294</v>
      </c>
      <c r="AA3" s="50">
        <v>3314</v>
      </c>
      <c r="AB3" s="52">
        <v>0.40106459842921294</v>
      </c>
      <c r="AC3" s="50">
        <v>3569</v>
      </c>
      <c r="AD3" s="52">
        <v>0.40106459842921294</v>
      </c>
      <c r="AE3" s="50">
        <v>3824</v>
      </c>
      <c r="AF3" s="52">
        <v>0.40106459842921294</v>
      </c>
      <c r="AG3" s="50">
        <v>4079</v>
      </c>
      <c r="AH3" s="52">
        <v>0.40106459842921294</v>
      </c>
      <c r="AI3" s="50">
        <v>4334</v>
      </c>
      <c r="AJ3" s="52">
        <v>0.40106459842921294</v>
      </c>
      <c r="AK3" s="50">
        <v>4589</v>
      </c>
      <c r="AL3" s="52">
        <v>0.40106459842921294</v>
      </c>
      <c r="AM3" s="50">
        <v>4844</v>
      </c>
      <c r="AN3" s="52">
        <v>0.40106459842921294</v>
      </c>
      <c r="AO3" s="50">
        <v>5099</v>
      </c>
      <c r="AP3" s="52">
        <v>0.40106459842921294</v>
      </c>
      <c r="AQ3" s="50">
        <v>5354</v>
      </c>
      <c r="AR3" s="52">
        <v>0.40106459842921294</v>
      </c>
      <c r="AS3" s="50">
        <v>5609</v>
      </c>
      <c r="AT3" s="52">
        <v>0.40106459842921294</v>
      </c>
      <c r="AU3" s="50">
        <v>5864</v>
      </c>
      <c r="AV3" s="52">
        <v>0.40106459842921294</v>
      </c>
      <c r="AW3" s="50">
        <v>6119</v>
      </c>
      <c r="AX3" s="52">
        <v>0.40106459842921294</v>
      </c>
      <c r="AY3" s="50">
        <v>6374</v>
      </c>
      <c r="AZ3" s="52">
        <v>0.40106459842921294</v>
      </c>
      <c r="BA3" s="50">
        <v>6629</v>
      </c>
      <c r="BB3" s="52">
        <v>0.40106459842921294</v>
      </c>
      <c r="BC3" s="50">
        <v>6884</v>
      </c>
      <c r="BD3" s="52">
        <v>0.40106459842921294</v>
      </c>
      <c r="BE3" s="50">
        <v>7139</v>
      </c>
      <c r="BF3" s="52">
        <v>0.40106459842921294</v>
      </c>
      <c r="BG3" s="50">
        <v>7394</v>
      </c>
      <c r="BH3" s="52">
        <v>0.40106459842921294</v>
      </c>
      <c r="BI3" s="50">
        <v>7649</v>
      </c>
      <c r="BJ3" s="52">
        <v>0.40106459842921294</v>
      </c>
    </row>
    <row r="4" spans="1:62">
      <c r="B4" s="50" t="s">
        <v>149</v>
      </c>
      <c r="C4" s="50">
        <v>296</v>
      </c>
      <c r="D4" s="52">
        <v>0.46560349231188758</v>
      </c>
      <c r="E4" s="50">
        <v>592</v>
      </c>
      <c r="F4" s="52">
        <v>0.46560349231188758</v>
      </c>
      <c r="G4" s="50">
        <v>888</v>
      </c>
      <c r="H4" s="52">
        <v>0.46560349231188758</v>
      </c>
      <c r="I4" s="50">
        <v>1184</v>
      </c>
      <c r="J4" s="52">
        <v>0.46560349231188758</v>
      </c>
      <c r="K4" s="50">
        <v>1480</v>
      </c>
      <c r="L4" s="52">
        <v>0.46560349231188758</v>
      </c>
      <c r="M4" s="50">
        <v>1776</v>
      </c>
      <c r="N4" s="52">
        <v>0.46560349231188758</v>
      </c>
      <c r="O4" s="50">
        <v>2072</v>
      </c>
      <c r="P4" s="52">
        <v>0.46560349231188758</v>
      </c>
      <c r="Q4" s="50">
        <v>2368</v>
      </c>
      <c r="R4" s="52">
        <v>0.46560349231188758</v>
      </c>
      <c r="S4" s="50">
        <v>2664</v>
      </c>
      <c r="T4" s="52">
        <v>0.46560349231188758</v>
      </c>
      <c r="U4" s="50">
        <v>2960</v>
      </c>
      <c r="V4" s="52">
        <v>0.46560349231188758</v>
      </c>
      <c r="W4" s="50">
        <v>3256</v>
      </c>
      <c r="X4" s="52">
        <v>0.46560349231188758</v>
      </c>
      <c r="Y4" s="50">
        <v>3552</v>
      </c>
      <c r="Z4" s="52">
        <v>0.46560349231188758</v>
      </c>
      <c r="AA4" s="50">
        <v>3848</v>
      </c>
      <c r="AB4" s="52">
        <v>0.46560349231188758</v>
      </c>
      <c r="AC4" s="50">
        <v>4144</v>
      </c>
      <c r="AD4" s="52">
        <v>0.46560349231188758</v>
      </c>
      <c r="AE4" s="50">
        <v>4440</v>
      </c>
      <c r="AF4" s="52">
        <v>0.46560349231188758</v>
      </c>
      <c r="AG4" s="50">
        <v>4736</v>
      </c>
      <c r="AH4" s="52">
        <v>0.46560349231188758</v>
      </c>
      <c r="AI4" s="50">
        <v>5032</v>
      </c>
      <c r="AJ4" s="52">
        <v>0.46560349231188758</v>
      </c>
      <c r="AK4" s="50">
        <v>5328</v>
      </c>
      <c r="AL4" s="52">
        <v>0.46560349231188758</v>
      </c>
      <c r="AM4" s="50">
        <v>5624</v>
      </c>
      <c r="AN4" s="52">
        <v>0.46560349231188758</v>
      </c>
      <c r="AO4" s="50">
        <v>5920</v>
      </c>
      <c r="AP4" s="52">
        <v>0.46560349231188758</v>
      </c>
      <c r="AQ4" s="50">
        <v>6216</v>
      </c>
      <c r="AR4" s="52">
        <v>0.46560349231188758</v>
      </c>
      <c r="AS4" s="50">
        <v>6512</v>
      </c>
      <c r="AT4" s="52">
        <v>0.46560349231188758</v>
      </c>
      <c r="AU4" s="50">
        <v>6808</v>
      </c>
      <c r="AV4" s="52">
        <v>0.46560349231188758</v>
      </c>
      <c r="AW4" s="50">
        <v>7104</v>
      </c>
      <c r="AX4" s="52">
        <v>0.46560349231188758</v>
      </c>
      <c r="AY4" s="50">
        <v>7400</v>
      </c>
      <c r="AZ4" s="52">
        <v>0.46560349231188758</v>
      </c>
      <c r="BA4" s="50">
        <v>7696</v>
      </c>
      <c r="BB4" s="52">
        <v>0.46560349231188758</v>
      </c>
      <c r="BC4" s="50">
        <v>7992</v>
      </c>
      <c r="BD4" s="52">
        <v>0.46560349231188758</v>
      </c>
      <c r="BE4" s="50">
        <v>8288</v>
      </c>
      <c r="BF4" s="52">
        <v>0.46560349231188758</v>
      </c>
      <c r="BG4" s="50">
        <v>8584</v>
      </c>
      <c r="BH4" s="52">
        <v>0.46560349231188758</v>
      </c>
      <c r="BI4" s="50">
        <v>8880</v>
      </c>
      <c r="BJ4" s="52">
        <v>0.46560349231188758</v>
      </c>
    </row>
    <row r="5" spans="1:62">
      <c r="B5" s="50" t="s">
        <v>150</v>
      </c>
      <c r="C5" s="50">
        <v>321</v>
      </c>
      <c r="D5" s="52">
        <v>0.5043179508951745</v>
      </c>
      <c r="E5" s="50">
        <v>641</v>
      </c>
      <c r="F5" s="52">
        <v>0.5043179508951745</v>
      </c>
      <c r="G5" s="50">
        <v>962</v>
      </c>
      <c r="H5" s="52">
        <v>0.5043179508951745</v>
      </c>
      <c r="I5" s="50">
        <v>1282</v>
      </c>
      <c r="J5" s="52">
        <v>0.5043179508951745</v>
      </c>
      <c r="K5" s="50">
        <v>1603</v>
      </c>
      <c r="L5" s="52">
        <v>0.5043179508951745</v>
      </c>
      <c r="M5" s="50">
        <v>1924</v>
      </c>
      <c r="N5" s="52">
        <v>0.5043179508951745</v>
      </c>
      <c r="O5" s="50">
        <v>2244</v>
      </c>
      <c r="P5" s="52">
        <v>0.5043179508951745</v>
      </c>
      <c r="Q5" s="50">
        <v>2565</v>
      </c>
      <c r="R5" s="52">
        <v>0.5043179508951745</v>
      </c>
      <c r="S5" s="50">
        <v>2885</v>
      </c>
      <c r="T5" s="52">
        <v>0.5043179508951745</v>
      </c>
      <c r="U5" s="50">
        <v>3206</v>
      </c>
      <c r="V5" s="52">
        <v>0.5043179508951745</v>
      </c>
      <c r="W5" s="50">
        <v>3527</v>
      </c>
      <c r="X5" s="52">
        <v>0.5043179508951745</v>
      </c>
      <c r="Y5" s="50">
        <v>3847</v>
      </c>
      <c r="Z5" s="52">
        <v>0.5043179508951745</v>
      </c>
      <c r="AA5" s="50">
        <v>4168</v>
      </c>
      <c r="AB5" s="52">
        <v>0.5043179508951745</v>
      </c>
      <c r="AC5" s="50">
        <v>4488</v>
      </c>
      <c r="AD5" s="52">
        <v>0.5043179508951745</v>
      </c>
      <c r="AE5" s="50">
        <v>4809</v>
      </c>
      <c r="AF5" s="52">
        <v>0.5043179508951745</v>
      </c>
      <c r="AG5" s="50">
        <v>5130</v>
      </c>
      <c r="AH5" s="52">
        <v>0.5043179508951745</v>
      </c>
      <c r="AI5" s="50">
        <v>5450</v>
      </c>
      <c r="AJ5" s="52">
        <v>0.5043179508951745</v>
      </c>
      <c r="AK5" s="50">
        <v>5771</v>
      </c>
      <c r="AL5" s="52">
        <v>0.5043179508951745</v>
      </c>
      <c r="AM5" s="50">
        <v>6091</v>
      </c>
      <c r="AN5" s="52">
        <v>0.5043179508951745</v>
      </c>
      <c r="AO5" s="50">
        <v>6412</v>
      </c>
      <c r="AP5" s="52">
        <v>0.5043179508951745</v>
      </c>
      <c r="AQ5" s="50">
        <v>6733</v>
      </c>
      <c r="AR5" s="52">
        <v>0.5043179508951745</v>
      </c>
      <c r="AS5" s="50">
        <v>7053</v>
      </c>
      <c r="AT5" s="52">
        <v>0.5043179508951745</v>
      </c>
      <c r="AU5" s="50">
        <v>7374</v>
      </c>
      <c r="AV5" s="52">
        <v>0.5043179508951745</v>
      </c>
      <c r="AW5" s="50">
        <v>7694</v>
      </c>
      <c r="AX5" s="52">
        <v>0.5043179508951745</v>
      </c>
      <c r="AY5" s="50">
        <v>8015</v>
      </c>
      <c r="AZ5" s="52">
        <v>0.5043179508951745</v>
      </c>
      <c r="BA5" s="50">
        <v>8336</v>
      </c>
      <c r="BB5" s="52">
        <v>0.5043179508951745</v>
      </c>
      <c r="BC5" s="50">
        <v>8656</v>
      </c>
      <c r="BD5" s="52">
        <v>0.5043179508951745</v>
      </c>
      <c r="BE5" s="50">
        <v>8977</v>
      </c>
      <c r="BF5" s="52">
        <v>0.5043179508951745</v>
      </c>
      <c r="BG5" s="50">
        <v>9297</v>
      </c>
      <c r="BH5" s="52">
        <v>0.5043179508951745</v>
      </c>
      <c r="BI5" s="50">
        <v>9618</v>
      </c>
      <c r="BJ5" s="52">
        <v>0.5043179508951745</v>
      </c>
    </row>
    <row r="6" spans="1:62">
      <c r="B6" s="50" t="s">
        <v>151</v>
      </c>
      <c r="C6" s="50">
        <v>442</v>
      </c>
      <c r="D6" s="52">
        <v>0.69602216360136104</v>
      </c>
      <c r="E6" s="50">
        <v>885</v>
      </c>
      <c r="F6" s="52">
        <v>0.69602216360136104</v>
      </c>
      <c r="G6" s="50">
        <v>1327</v>
      </c>
      <c r="H6" s="52">
        <v>0.69602216360136104</v>
      </c>
      <c r="I6" s="50">
        <v>1770</v>
      </c>
      <c r="J6" s="52">
        <v>0.69602216360136104</v>
      </c>
      <c r="K6" s="50">
        <v>2212</v>
      </c>
      <c r="L6" s="52">
        <v>0.69602216360136104</v>
      </c>
      <c r="M6" s="50">
        <v>2655</v>
      </c>
      <c r="N6" s="52">
        <v>0.69602216360136104</v>
      </c>
      <c r="O6" s="50">
        <v>3097</v>
      </c>
      <c r="P6" s="52">
        <v>0.69602216360136104</v>
      </c>
      <c r="Q6" s="50">
        <v>3540</v>
      </c>
      <c r="R6" s="52">
        <v>0.69602216360136104</v>
      </c>
      <c r="S6" s="50">
        <v>3982</v>
      </c>
      <c r="T6" s="52">
        <v>0.69602216360136104</v>
      </c>
      <c r="U6" s="50">
        <v>4425</v>
      </c>
      <c r="V6" s="52">
        <v>0.69602216360136104</v>
      </c>
      <c r="W6" s="50">
        <v>4867</v>
      </c>
      <c r="X6" s="52">
        <v>0.69602216360136104</v>
      </c>
      <c r="Y6" s="50">
        <v>5310</v>
      </c>
      <c r="Z6" s="52">
        <v>0.69602216360136104</v>
      </c>
      <c r="AA6" s="50">
        <v>5752</v>
      </c>
      <c r="AB6" s="52">
        <v>0.69602216360136104</v>
      </c>
      <c r="AC6" s="50">
        <v>6195</v>
      </c>
      <c r="AD6" s="52">
        <v>0.69602216360136104</v>
      </c>
      <c r="AE6" s="50">
        <v>6637</v>
      </c>
      <c r="AF6" s="52">
        <v>0.69602216360136104</v>
      </c>
      <c r="AG6" s="50">
        <v>7079</v>
      </c>
      <c r="AH6" s="52">
        <v>0.69602216360136104</v>
      </c>
      <c r="AI6" s="50">
        <v>7522</v>
      </c>
      <c r="AJ6" s="52">
        <v>0.69602216360136104</v>
      </c>
      <c r="AK6" s="50">
        <v>7964</v>
      </c>
      <c r="AL6" s="52">
        <v>0.69602216360136104</v>
      </c>
      <c r="AM6" s="50">
        <v>8407</v>
      </c>
      <c r="AN6" s="52">
        <v>0.69602216360136104</v>
      </c>
      <c r="AO6" s="50">
        <v>8849</v>
      </c>
      <c r="AP6" s="52">
        <v>0.69602216360136104</v>
      </c>
      <c r="AQ6" s="50">
        <v>9292</v>
      </c>
      <c r="AR6" s="52">
        <v>0.69602216360136104</v>
      </c>
      <c r="AS6" s="50">
        <v>9734</v>
      </c>
      <c r="AT6" s="52">
        <v>0.69602216360136104</v>
      </c>
      <c r="AU6" s="50">
        <v>10177</v>
      </c>
      <c r="AV6" s="52">
        <v>0.69602216360136104</v>
      </c>
      <c r="AW6" s="50">
        <v>10619</v>
      </c>
      <c r="AX6" s="52">
        <v>0.69602216360136104</v>
      </c>
      <c r="AY6" s="50">
        <v>11062</v>
      </c>
      <c r="AZ6" s="52">
        <v>0.69602216360136104</v>
      </c>
      <c r="BA6" s="50">
        <v>11504</v>
      </c>
      <c r="BB6" s="52">
        <v>0.69602216360136104</v>
      </c>
      <c r="BC6" s="50">
        <v>11947</v>
      </c>
      <c r="BD6" s="52">
        <v>0.69602216360136104</v>
      </c>
      <c r="BE6" s="50">
        <v>12389</v>
      </c>
      <c r="BF6" s="52">
        <v>0.69602216360136104</v>
      </c>
      <c r="BG6" s="50">
        <v>12832</v>
      </c>
      <c r="BH6" s="52">
        <v>0.69602216360136104</v>
      </c>
      <c r="BI6" s="50">
        <v>13274</v>
      </c>
      <c r="BJ6" s="52">
        <v>0.69602216360136104</v>
      </c>
    </row>
    <row r="7" spans="1:62">
      <c r="B7" s="50" t="s">
        <v>152</v>
      </c>
      <c r="C7" s="50">
        <v>513</v>
      </c>
      <c r="D7" s="52">
        <v>0.80689156782736871</v>
      </c>
      <c r="E7" s="50">
        <v>1026</v>
      </c>
      <c r="F7" s="52">
        <v>0.80689156782736871</v>
      </c>
      <c r="G7" s="50">
        <v>1539</v>
      </c>
      <c r="H7" s="52">
        <v>0.80689156782736871</v>
      </c>
      <c r="I7" s="50">
        <v>2052</v>
      </c>
      <c r="J7" s="52">
        <v>0.80689156782736871</v>
      </c>
      <c r="K7" s="50">
        <v>2565</v>
      </c>
      <c r="L7" s="52">
        <v>0.80689156782736871</v>
      </c>
      <c r="M7" s="50">
        <v>3078</v>
      </c>
      <c r="N7" s="52">
        <v>0.80689156782736871</v>
      </c>
      <c r="O7" s="50">
        <v>3591</v>
      </c>
      <c r="P7" s="52">
        <v>0.80689156782736871</v>
      </c>
      <c r="Q7" s="50">
        <v>4104</v>
      </c>
      <c r="R7" s="52">
        <v>0.80689156782736871</v>
      </c>
      <c r="S7" s="50">
        <v>4617</v>
      </c>
      <c r="T7" s="52">
        <v>0.80689156782736871</v>
      </c>
      <c r="U7" s="50">
        <v>5129</v>
      </c>
      <c r="V7" s="52">
        <v>0.80689156782736871</v>
      </c>
      <c r="W7" s="50">
        <v>5642</v>
      </c>
      <c r="X7" s="52">
        <v>0.80689156782736871</v>
      </c>
      <c r="Y7" s="50">
        <v>6155</v>
      </c>
      <c r="Z7" s="52">
        <v>0.80689156782736871</v>
      </c>
      <c r="AA7" s="50">
        <v>6668</v>
      </c>
      <c r="AB7" s="52">
        <v>0.80689156782736871</v>
      </c>
      <c r="AC7" s="50">
        <v>7181</v>
      </c>
      <c r="AD7" s="52">
        <v>0.80689156782736871</v>
      </c>
      <c r="AE7" s="50">
        <v>7694</v>
      </c>
      <c r="AF7" s="52">
        <v>0.80689156782736871</v>
      </c>
      <c r="AG7" s="50">
        <v>8207</v>
      </c>
      <c r="AH7" s="52">
        <v>0.80689156782736871</v>
      </c>
      <c r="AI7" s="50">
        <v>8720</v>
      </c>
      <c r="AJ7" s="52">
        <v>0.80689156782736871</v>
      </c>
      <c r="AK7" s="50">
        <v>9233</v>
      </c>
      <c r="AL7" s="52">
        <v>0.80689156782736871</v>
      </c>
      <c r="AM7" s="50">
        <v>9746</v>
      </c>
      <c r="AN7" s="52">
        <v>0.80689156782736871</v>
      </c>
      <c r="AO7" s="50">
        <v>10259</v>
      </c>
      <c r="AP7" s="52">
        <v>0.80689156782736871</v>
      </c>
      <c r="AQ7" s="50">
        <v>10772</v>
      </c>
      <c r="AR7" s="52">
        <v>0.80689156782736871</v>
      </c>
      <c r="AS7" s="50">
        <v>11285</v>
      </c>
      <c r="AT7" s="52">
        <v>0.80689156782736871</v>
      </c>
      <c r="AU7" s="50">
        <v>11798</v>
      </c>
      <c r="AV7" s="52">
        <v>0.80689156782736871</v>
      </c>
      <c r="AW7" s="50">
        <v>12311</v>
      </c>
      <c r="AX7" s="52">
        <v>0.80689156782736871</v>
      </c>
      <c r="AY7" s="50">
        <v>12824</v>
      </c>
      <c r="AZ7" s="52">
        <v>0.80689156782736871</v>
      </c>
      <c r="BA7" s="50">
        <v>13337</v>
      </c>
      <c r="BB7" s="52">
        <v>0.80689156782736871</v>
      </c>
      <c r="BC7" s="50">
        <v>13850</v>
      </c>
      <c r="BD7" s="52">
        <v>0.80689156782736871</v>
      </c>
      <c r="BE7" s="50">
        <v>14363</v>
      </c>
      <c r="BF7" s="52">
        <v>0.80689156782736871</v>
      </c>
      <c r="BG7" s="50">
        <v>14876</v>
      </c>
      <c r="BH7" s="52">
        <v>0.80689156782736871</v>
      </c>
      <c r="BI7" s="50">
        <v>15388</v>
      </c>
      <c r="BJ7" s="52">
        <v>0.80689156782736871</v>
      </c>
    </row>
    <row r="8" spans="1:62">
      <c r="B8" s="50" t="s">
        <v>153</v>
      </c>
      <c r="C8" s="50">
        <v>636</v>
      </c>
      <c r="D8" s="52">
        <v>1</v>
      </c>
      <c r="E8" s="50">
        <v>1271</v>
      </c>
      <c r="F8" s="52">
        <v>1</v>
      </c>
      <c r="G8" s="50">
        <v>1907</v>
      </c>
      <c r="H8" s="52">
        <v>1</v>
      </c>
      <c r="I8" s="50">
        <v>2543</v>
      </c>
      <c r="J8" s="52">
        <v>1</v>
      </c>
      <c r="K8" s="50">
        <v>3179</v>
      </c>
      <c r="L8" s="52">
        <v>1</v>
      </c>
      <c r="M8" s="50">
        <v>3814</v>
      </c>
      <c r="N8" s="52">
        <v>1</v>
      </c>
      <c r="O8" s="50">
        <v>4450</v>
      </c>
      <c r="P8" s="52">
        <v>1</v>
      </c>
      <c r="Q8" s="50">
        <v>5086</v>
      </c>
      <c r="R8" s="52">
        <v>1</v>
      </c>
      <c r="S8" s="50">
        <v>5721</v>
      </c>
      <c r="T8" s="52">
        <v>1</v>
      </c>
      <c r="U8" s="50">
        <v>6357</v>
      </c>
      <c r="V8" s="52">
        <v>1</v>
      </c>
      <c r="W8" s="50">
        <v>6993</v>
      </c>
      <c r="X8" s="52">
        <v>1</v>
      </c>
      <c r="Y8" s="50">
        <v>7629</v>
      </c>
      <c r="Z8" s="52">
        <v>1</v>
      </c>
      <c r="AA8" s="50">
        <v>8264</v>
      </c>
      <c r="AB8" s="52">
        <v>1</v>
      </c>
      <c r="AC8" s="50">
        <v>8900</v>
      </c>
      <c r="AD8" s="52">
        <v>1</v>
      </c>
      <c r="AE8" s="50">
        <v>9536</v>
      </c>
      <c r="AF8" s="52">
        <v>1</v>
      </c>
      <c r="AG8" s="50">
        <v>10171</v>
      </c>
      <c r="AH8" s="52">
        <v>1</v>
      </c>
      <c r="AI8" s="50">
        <v>10807</v>
      </c>
      <c r="AJ8" s="52">
        <v>1</v>
      </c>
      <c r="AK8" s="50">
        <v>11443</v>
      </c>
      <c r="AL8" s="52">
        <v>1</v>
      </c>
      <c r="AM8" s="50">
        <v>12078</v>
      </c>
      <c r="AN8" s="52">
        <v>1</v>
      </c>
      <c r="AO8" s="50">
        <v>12714</v>
      </c>
      <c r="AP8" s="52">
        <v>1</v>
      </c>
      <c r="AQ8" s="50">
        <v>13350</v>
      </c>
      <c r="AR8" s="52">
        <v>1</v>
      </c>
      <c r="AS8" s="50">
        <v>13986</v>
      </c>
      <c r="AT8" s="52">
        <v>1</v>
      </c>
      <c r="AU8" s="50">
        <v>14621</v>
      </c>
      <c r="AV8" s="52">
        <v>1</v>
      </c>
      <c r="AW8" s="50">
        <v>15257</v>
      </c>
      <c r="AX8" s="52">
        <v>1</v>
      </c>
      <c r="AY8" s="50">
        <v>15893</v>
      </c>
      <c r="AZ8" s="52">
        <v>1</v>
      </c>
      <c r="BA8" s="50">
        <v>16528</v>
      </c>
      <c r="BB8" s="52">
        <v>1</v>
      </c>
      <c r="BC8" s="50">
        <v>17164</v>
      </c>
      <c r="BD8" s="52">
        <v>1</v>
      </c>
      <c r="BE8" s="50">
        <v>17800</v>
      </c>
      <c r="BF8" s="52">
        <v>1</v>
      </c>
      <c r="BG8" s="50">
        <v>18436</v>
      </c>
      <c r="BH8" s="52">
        <v>1</v>
      </c>
      <c r="BI8" s="50">
        <v>19071</v>
      </c>
      <c r="BJ8" s="52">
        <v>1</v>
      </c>
    </row>
    <row r="20" spans="2:32" s="2" customFormat="1">
      <c r="B20" s="16" t="s">
        <v>58</v>
      </c>
    </row>
    <row r="21" spans="2:32" s="2" customFormat="1" ht="32">
      <c r="B21" s="26" t="s">
        <v>59</v>
      </c>
      <c r="C21" s="26" t="s">
        <v>60</v>
      </c>
      <c r="D21" s="26" t="s">
        <v>61</v>
      </c>
      <c r="E21" s="27" t="s">
        <v>62</v>
      </c>
    </row>
    <row r="22" spans="2:32" s="2" customFormat="1">
      <c r="B22" s="28" t="s">
        <v>63</v>
      </c>
      <c r="C22" s="29" t="e">
        <f>AVERAGE(#REF!/#REF!,#REF!/#REF!,#REF!/#REF!,#REF!/#REF!,#REF!/#REF!,#REF!/#REF!,#REF!/#REF!,#REF!/#REF!)</f>
        <v>#REF!</v>
      </c>
      <c r="D22" s="29" t="e">
        <f>AVERAGE(#REF!/#REF!,#REF!/#REF!,#REF!/#REF!,#REF!/#REF!,#REF!/#REF!,#REF!/#REF!,#REF!/#REF!,#REF!/#REF!)</f>
        <v>#REF!</v>
      </c>
      <c r="E22" s="29" t="e">
        <f t="shared" ref="E22:E28" si="0">(C22+D22)/2</f>
        <v>#REF!</v>
      </c>
    </row>
    <row r="23" spans="2:32" s="2" customFormat="1">
      <c r="B23" s="30" t="s">
        <v>64</v>
      </c>
      <c r="C23" s="31" t="e">
        <f>AVERAGE(#REF!,#REF!,#REF!,#REF!,#REF!,#REF!,#REF!,#REF!)</f>
        <v>#REF!</v>
      </c>
      <c r="D23" s="31" t="e">
        <f>AVERAGE(#REF!,#REF!,#REF!,#REF!,#REF!,#REF!,#REF!,#REF!)</f>
        <v>#REF!</v>
      </c>
      <c r="E23" s="31" t="e">
        <f t="shared" si="0"/>
        <v>#REF!</v>
      </c>
    </row>
    <row r="24" spans="2:32" s="2" customFormat="1">
      <c r="B24" s="30" t="s">
        <v>65</v>
      </c>
      <c r="C24" s="31" t="e">
        <f>AVERAGE(#REF!,#REF!,#REF!,#REF!,#REF!,#REF!,#REF!,#REF!)</f>
        <v>#REF!</v>
      </c>
      <c r="D24" s="31" t="e">
        <f>AVERAGE(#REF!,#REF!,#REF!,#REF!,#REF!,#REF!,#REF!,#REF!)</f>
        <v>#REF!</v>
      </c>
      <c r="E24" s="31" t="e">
        <f t="shared" si="0"/>
        <v>#REF!</v>
      </c>
    </row>
    <row r="25" spans="2:32" s="2" customFormat="1">
      <c r="B25" s="30" t="s">
        <v>66</v>
      </c>
      <c r="C25" s="31" t="e">
        <f>AVERAGE(#REF!,#REF!,#REF!,#REF!,#REF!,#REF!,#REF!,#REF!)</f>
        <v>#REF!</v>
      </c>
      <c r="D25" s="31" t="e">
        <f>AVERAGE(#REF!,#REF!,#REF!,#REF!,#REF!,#REF!,#REF!,#REF!)</f>
        <v>#REF!</v>
      </c>
      <c r="E25" s="31" t="e">
        <f t="shared" si="0"/>
        <v>#REF!</v>
      </c>
    </row>
    <row r="26" spans="2:32" s="2" customFormat="1">
      <c r="B26" s="30" t="s">
        <v>67</v>
      </c>
      <c r="C26" s="31" t="e">
        <f>AVERAGE(#REF!,#REF!,#REF!,#REF!,#REF!,#REF!,#REF!,#REF!)</f>
        <v>#REF!</v>
      </c>
      <c r="D26" s="31" t="e">
        <f>AVERAGE(#REF!,#REF!,#REF!,#REF!,#REF!,#REF!,#REF!,#REF!)</f>
        <v>#REF!</v>
      </c>
      <c r="E26" s="31" t="e">
        <f t="shared" si="0"/>
        <v>#REF!</v>
      </c>
    </row>
    <row r="27" spans="2:32" s="2" customFormat="1">
      <c r="B27" s="28" t="s">
        <v>68</v>
      </c>
      <c r="C27" s="31" t="e">
        <f>AVERAGE(#REF!,#REF!,#REF!,#REF!,#REF!,#REF!,#REF!,#REF!)</f>
        <v>#REF!</v>
      </c>
      <c r="D27" s="31" t="e">
        <f>AVERAGE(#REF!,#REF!,#REF!,#REF!,#REF!,#REF!,#REF!,#REF!)</f>
        <v>#REF!</v>
      </c>
      <c r="E27" s="31" t="e">
        <f t="shared" si="0"/>
        <v>#REF!</v>
      </c>
    </row>
    <row r="28" spans="2:32" s="2" customFormat="1">
      <c r="B28" s="30" t="s">
        <v>69</v>
      </c>
      <c r="C28" s="31" t="e">
        <f>AVERAGE(#REF!,#REF!,#REF!,#REF!,#REF!,#REF!,#REF!,#REF!)</f>
        <v>#REF!</v>
      </c>
      <c r="D28" s="31" t="e">
        <f>AVERAGE(#REF!,#REF!,#REF!,#REF!,#REF!,#REF!,#REF!,#REF!)</f>
        <v>#REF!</v>
      </c>
      <c r="E28" s="31" t="e">
        <f t="shared" si="0"/>
        <v>#REF!</v>
      </c>
    </row>
    <row r="32" spans="2:32" s="2" customFormat="1">
      <c r="B32" s="32" t="s">
        <v>70</v>
      </c>
      <c r="C32" s="33">
        <v>100</v>
      </c>
      <c r="D32" s="33">
        <v>200</v>
      </c>
      <c r="E32" s="33">
        <v>300</v>
      </c>
      <c r="F32" s="33">
        <v>400</v>
      </c>
      <c r="G32" s="33">
        <v>500</v>
      </c>
      <c r="H32" s="33">
        <v>600</v>
      </c>
      <c r="I32" s="33">
        <v>700</v>
      </c>
      <c r="J32" s="33">
        <v>800</v>
      </c>
      <c r="K32" s="33">
        <v>900</v>
      </c>
      <c r="L32" s="33">
        <v>1000</v>
      </c>
      <c r="M32" s="33">
        <v>1100</v>
      </c>
      <c r="N32" s="33">
        <v>1200</v>
      </c>
      <c r="O32" s="33">
        <v>1300</v>
      </c>
      <c r="P32" s="33">
        <v>1400</v>
      </c>
      <c r="Q32" s="33">
        <v>1500</v>
      </c>
      <c r="R32" s="33">
        <v>1600</v>
      </c>
      <c r="S32" s="33">
        <v>1700</v>
      </c>
      <c r="T32" s="33">
        <v>1800</v>
      </c>
      <c r="U32" s="33">
        <v>1900</v>
      </c>
      <c r="V32" s="33">
        <v>2000</v>
      </c>
      <c r="W32" s="33">
        <v>2100</v>
      </c>
      <c r="X32" s="33">
        <v>2200</v>
      </c>
      <c r="Y32" s="33">
        <v>2300</v>
      </c>
      <c r="Z32" s="33">
        <v>2400</v>
      </c>
      <c r="AA32" s="33">
        <v>2500</v>
      </c>
      <c r="AB32" s="33">
        <v>2600</v>
      </c>
      <c r="AC32" s="33">
        <v>2700</v>
      </c>
      <c r="AD32" s="33">
        <v>2800</v>
      </c>
      <c r="AE32" s="33">
        <v>2900</v>
      </c>
      <c r="AF32" s="33">
        <v>3000</v>
      </c>
    </row>
    <row r="33" spans="2:32" s="2" customFormat="1">
      <c r="B33" s="34" t="s">
        <v>71</v>
      </c>
      <c r="C33" s="35" t="e">
        <f>#REF!</f>
        <v>#REF!</v>
      </c>
      <c r="D33" s="35" t="e">
        <f>#REF!</f>
        <v>#REF!</v>
      </c>
      <c r="E33" s="35" t="e">
        <f>#REF!</f>
        <v>#REF!</v>
      </c>
      <c r="F33" s="35" t="e">
        <f>#REF!</f>
        <v>#REF!</v>
      </c>
      <c r="G33" s="35" t="e">
        <f>#REF!</f>
        <v>#REF!</v>
      </c>
      <c r="H33" s="35" t="e">
        <f>#REF!</f>
        <v>#REF!</v>
      </c>
      <c r="I33" s="35" t="e">
        <f>#REF!</f>
        <v>#REF!</v>
      </c>
      <c r="J33" s="35" t="e">
        <f>#REF!</f>
        <v>#REF!</v>
      </c>
      <c r="K33" s="35" t="e">
        <f>#REF!</f>
        <v>#REF!</v>
      </c>
      <c r="L33" s="35" t="e">
        <f>#REF!</f>
        <v>#REF!</v>
      </c>
      <c r="M33" s="35" t="e">
        <f>#REF!</f>
        <v>#REF!</v>
      </c>
      <c r="N33" s="35" t="e">
        <f>#REF!</f>
        <v>#REF!</v>
      </c>
      <c r="O33" s="35" t="e">
        <f>#REF!</f>
        <v>#REF!</v>
      </c>
      <c r="P33" s="35" t="e">
        <f>#REF!</f>
        <v>#REF!</v>
      </c>
      <c r="Q33" s="35" t="e">
        <f>#REF!</f>
        <v>#REF!</v>
      </c>
      <c r="R33" s="35" t="e">
        <f>#REF!</f>
        <v>#REF!</v>
      </c>
      <c r="S33" s="35" t="e">
        <f>#REF!</f>
        <v>#REF!</v>
      </c>
      <c r="T33" s="35" t="e">
        <f>#REF!</f>
        <v>#REF!</v>
      </c>
      <c r="U33" s="35" t="e">
        <f>#REF!</f>
        <v>#REF!</v>
      </c>
      <c r="V33" s="35" t="e">
        <f>#REF!</f>
        <v>#REF!</v>
      </c>
      <c r="W33" s="35" t="e">
        <f>#REF!</f>
        <v>#REF!</v>
      </c>
      <c r="X33" s="35" t="e">
        <f>#REF!</f>
        <v>#REF!</v>
      </c>
      <c r="Y33" s="35" t="e">
        <f>#REF!</f>
        <v>#REF!</v>
      </c>
      <c r="Z33" s="35" t="e">
        <f>#REF!</f>
        <v>#REF!</v>
      </c>
      <c r="AA33" s="35" t="e">
        <f>#REF!</f>
        <v>#REF!</v>
      </c>
      <c r="AB33" s="35" t="e">
        <f>#REF!</f>
        <v>#REF!</v>
      </c>
      <c r="AC33" s="35" t="e">
        <f>#REF!</f>
        <v>#REF!</v>
      </c>
      <c r="AD33" s="35" t="e">
        <f>#REF!</f>
        <v>#REF!</v>
      </c>
      <c r="AE33" s="35" t="e">
        <f>#REF!</f>
        <v>#REF!</v>
      </c>
      <c r="AF33" s="35" t="e">
        <f>#REF!</f>
        <v>#REF!</v>
      </c>
    </row>
    <row r="34" spans="2:32" s="2" customFormat="1">
      <c r="B34" s="34" t="s">
        <v>72</v>
      </c>
      <c r="C34" s="35" t="e">
        <f>#REF!</f>
        <v>#REF!</v>
      </c>
      <c r="D34" s="35" t="e">
        <f>#REF!</f>
        <v>#REF!</v>
      </c>
      <c r="E34" s="35" t="e">
        <f>#REF!</f>
        <v>#REF!</v>
      </c>
      <c r="F34" s="35" t="e">
        <f>#REF!</f>
        <v>#REF!</v>
      </c>
      <c r="G34" s="35" t="e">
        <f>#REF!</f>
        <v>#REF!</v>
      </c>
      <c r="H34" s="35" t="e">
        <f>#REF!</f>
        <v>#REF!</v>
      </c>
      <c r="I34" s="35" t="e">
        <f>#REF!</f>
        <v>#REF!</v>
      </c>
      <c r="J34" s="35" t="e">
        <f>#REF!</f>
        <v>#REF!</v>
      </c>
      <c r="K34" s="35" t="e">
        <f>#REF!</f>
        <v>#REF!</v>
      </c>
      <c r="L34" s="35" t="e">
        <f>#REF!</f>
        <v>#REF!</v>
      </c>
      <c r="M34" s="35" t="e">
        <f>#REF!</f>
        <v>#REF!</v>
      </c>
      <c r="N34" s="35" t="e">
        <f>#REF!</f>
        <v>#REF!</v>
      </c>
      <c r="O34" s="35" t="e">
        <f>#REF!</f>
        <v>#REF!</v>
      </c>
      <c r="P34" s="35" t="e">
        <f>#REF!</f>
        <v>#REF!</v>
      </c>
      <c r="Q34" s="35" t="e">
        <f>#REF!</f>
        <v>#REF!</v>
      </c>
      <c r="R34" s="35" t="e">
        <f>#REF!</f>
        <v>#REF!</v>
      </c>
      <c r="S34" s="35" t="e">
        <f>#REF!</f>
        <v>#REF!</v>
      </c>
      <c r="T34" s="35" t="e">
        <f>#REF!</f>
        <v>#REF!</v>
      </c>
      <c r="U34" s="35" t="e">
        <f>#REF!</f>
        <v>#REF!</v>
      </c>
      <c r="V34" s="35" t="e">
        <f>#REF!</f>
        <v>#REF!</v>
      </c>
      <c r="W34" s="35" t="e">
        <f>#REF!</f>
        <v>#REF!</v>
      </c>
      <c r="X34" s="35" t="e">
        <f>#REF!</f>
        <v>#REF!</v>
      </c>
      <c r="Y34" s="35" t="e">
        <f>#REF!</f>
        <v>#REF!</v>
      </c>
      <c r="Z34" s="35" t="e">
        <f>#REF!</f>
        <v>#REF!</v>
      </c>
      <c r="AA34" s="35" t="e">
        <f>#REF!</f>
        <v>#REF!</v>
      </c>
      <c r="AB34" s="35" t="e">
        <f>#REF!</f>
        <v>#REF!</v>
      </c>
      <c r="AC34" s="35" t="e">
        <f>#REF!</f>
        <v>#REF!</v>
      </c>
      <c r="AD34" s="35" t="e">
        <f>#REF!</f>
        <v>#REF!</v>
      </c>
      <c r="AE34" s="35" t="e">
        <f>#REF!</f>
        <v>#REF!</v>
      </c>
      <c r="AF34" s="35" t="e">
        <f>#REF!</f>
        <v>#REF!</v>
      </c>
    </row>
    <row r="35" spans="2:32" s="2" customFormat="1">
      <c r="B35" s="34" t="s">
        <v>73</v>
      </c>
      <c r="C35" s="35" t="e">
        <f>#REF!</f>
        <v>#REF!</v>
      </c>
      <c r="D35" s="35" t="e">
        <f>#REF!</f>
        <v>#REF!</v>
      </c>
      <c r="E35" s="35" t="e">
        <f>#REF!</f>
        <v>#REF!</v>
      </c>
      <c r="F35" s="35" t="e">
        <f>#REF!</f>
        <v>#REF!</v>
      </c>
      <c r="G35" s="35" t="e">
        <f>#REF!</f>
        <v>#REF!</v>
      </c>
      <c r="H35" s="35" t="e">
        <f>#REF!</f>
        <v>#REF!</v>
      </c>
      <c r="I35" s="35" t="e">
        <f>#REF!</f>
        <v>#REF!</v>
      </c>
      <c r="J35" s="35" t="e">
        <f>#REF!</f>
        <v>#REF!</v>
      </c>
      <c r="K35" s="35" t="e">
        <f>#REF!</f>
        <v>#REF!</v>
      </c>
      <c r="L35" s="35" t="e">
        <f>#REF!</f>
        <v>#REF!</v>
      </c>
      <c r="M35" s="35" t="e">
        <f>#REF!</f>
        <v>#REF!</v>
      </c>
      <c r="N35" s="35" t="e">
        <f>#REF!</f>
        <v>#REF!</v>
      </c>
      <c r="O35" s="35" t="e">
        <f>#REF!</f>
        <v>#REF!</v>
      </c>
      <c r="P35" s="35" t="e">
        <f>#REF!</f>
        <v>#REF!</v>
      </c>
      <c r="Q35" s="35" t="e">
        <f>#REF!</f>
        <v>#REF!</v>
      </c>
      <c r="R35" s="35" t="e">
        <f>#REF!</f>
        <v>#REF!</v>
      </c>
      <c r="S35" s="35" t="e">
        <f>#REF!</f>
        <v>#REF!</v>
      </c>
      <c r="T35" s="35" t="e">
        <f>#REF!</f>
        <v>#REF!</v>
      </c>
      <c r="U35" s="35" t="e">
        <f>#REF!</f>
        <v>#REF!</v>
      </c>
      <c r="V35" s="35" t="e">
        <f>#REF!</f>
        <v>#REF!</v>
      </c>
      <c r="W35" s="35" t="e">
        <f>#REF!</f>
        <v>#REF!</v>
      </c>
      <c r="X35" s="35" t="e">
        <f>#REF!</f>
        <v>#REF!</v>
      </c>
      <c r="Y35" s="35" t="e">
        <f>#REF!</f>
        <v>#REF!</v>
      </c>
      <c r="Z35" s="35" t="e">
        <f>#REF!</f>
        <v>#REF!</v>
      </c>
      <c r="AA35" s="35" t="e">
        <f>#REF!</f>
        <v>#REF!</v>
      </c>
      <c r="AB35" s="35" t="e">
        <f>#REF!</f>
        <v>#REF!</v>
      </c>
      <c r="AC35" s="35" t="e">
        <f>#REF!</f>
        <v>#REF!</v>
      </c>
      <c r="AD35" s="35" t="e">
        <f>#REF!</f>
        <v>#REF!</v>
      </c>
      <c r="AE35" s="35" t="e">
        <f>#REF!</f>
        <v>#REF!</v>
      </c>
      <c r="AF35" s="35" t="e">
        <f>#REF!</f>
        <v>#REF!</v>
      </c>
    </row>
    <row r="36" spans="2:32" s="2" customFormat="1">
      <c r="B36" s="34" t="s">
        <v>74</v>
      </c>
      <c r="C36" s="35" t="e">
        <f>#REF!</f>
        <v>#REF!</v>
      </c>
      <c r="D36" s="35" t="e">
        <f>#REF!</f>
        <v>#REF!</v>
      </c>
      <c r="E36" s="35" t="e">
        <f>#REF!</f>
        <v>#REF!</v>
      </c>
      <c r="F36" s="35" t="e">
        <f>#REF!</f>
        <v>#REF!</v>
      </c>
      <c r="G36" s="35" t="e">
        <f>#REF!</f>
        <v>#REF!</v>
      </c>
      <c r="H36" s="35" t="e">
        <f>#REF!</f>
        <v>#REF!</v>
      </c>
      <c r="I36" s="35" t="e">
        <f>#REF!</f>
        <v>#REF!</v>
      </c>
      <c r="J36" s="35" t="e">
        <f>#REF!</f>
        <v>#REF!</v>
      </c>
      <c r="K36" s="35" t="e">
        <f>#REF!</f>
        <v>#REF!</v>
      </c>
      <c r="L36" s="35" t="e">
        <f>#REF!</f>
        <v>#REF!</v>
      </c>
      <c r="M36" s="35" t="e">
        <f>#REF!</f>
        <v>#REF!</v>
      </c>
      <c r="N36" s="35" t="e">
        <f>#REF!</f>
        <v>#REF!</v>
      </c>
      <c r="O36" s="35" t="e">
        <f>#REF!</f>
        <v>#REF!</v>
      </c>
      <c r="P36" s="35" t="e">
        <f>#REF!</f>
        <v>#REF!</v>
      </c>
      <c r="Q36" s="35" t="e">
        <f>#REF!</f>
        <v>#REF!</v>
      </c>
      <c r="R36" s="35" t="e">
        <f>#REF!</f>
        <v>#REF!</v>
      </c>
      <c r="S36" s="35" t="e">
        <f>#REF!</f>
        <v>#REF!</v>
      </c>
      <c r="T36" s="35" t="e">
        <f>#REF!</f>
        <v>#REF!</v>
      </c>
      <c r="U36" s="35" t="e">
        <f>#REF!</f>
        <v>#REF!</v>
      </c>
      <c r="V36" s="35" t="e">
        <f>#REF!</f>
        <v>#REF!</v>
      </c>
      <c r="W36" s="35" t="e">
        <f>#REF!</f>
        <v>#REF!</v>
      </c>
      <c r="X36" s="35" t="e">
        <f>#REF!</f>
        <v>#REF!</v>
      </c>
      <c r="Y36" s="35" t="e">
        <f>#REF!</f>
        <v>#REF!</v>
      </c>
      <c r="Z36" s="35" t="e">
        <f>#REF!</f>
        <v>#REF!</v>
      </c>
      <c r="AA36" s="35" t="e">
        <f>#REF!</f>
        <v>#REF!</v>
      </c>
      <c r="AB36" s="35" t="e">
        <f>#REF!</f>
        <v>#REF!</v>
      </c>
      <c r="AC36" s="35" t="e">
        <f>#REF!</f>
        <v>#REF!</v>
      </c>
      <c r="AD36" s="35" t="e">
        <f>#REF!</f>
        <v>#REF!</v>
      </c>
      <c r="AE36" s="35" t="e">
        <f>#REF!</f>
        <v>#REF!</v>
      </c>
      <c r="AF36" s="35" t="e">
        <f>#REF!</f>
        <v>#REF!</v>
      </c>
    </row>
    <row r="37" spans="2:32" s="2" customFormat="1">
      <c r="B37" s="36" t="s">
        <v>75</v>
      </c>
      <c r="C37" s="35" t="e">
        <f>#REF!</f>
        <v>#REF!</v>
      </c>
      <c r="D37" s="35" t="e">
        <f>#REF!</f>
        <v>#REF!</v>
      </c>
      <c r="E37" s="35" t="e">
        <f>#REF!</f>
        <v>#REF!</v>
      </c>
      <c r="F37" s="35" t="e">
        <f>#REF!</f>
        <v>#REF!</v>
      </c>
      <c r="G37" s="35" t="e">
        <f>#REF!</f>
        <v>#REF!</v>
      </c>
      <c r="H37" s="35" t="e">
        <f>#REF!</f>
        <v>#REF!</v>
      </c>
      <c r="I37" s="35" t="e">
        <f>#REF!</f>
        <v>#REF!</v>
      </c>
      <c r="J37" s="35" t="e">
        <f>#REF!</f>
        <v>#REF!</v>
      </c>
      <c r="K37" s="35" t="e">
        <f>#REF!</f>
        <v>#REF!</v>
      </c>
      <c r="L37" s="35" t="e">
        <f>#REF!</f>
        <v>#REF!</v>
      </c>
      <c r="M37" s="35" t="e">
        <f>#REF!</f>
        <v>#REF!</v>
      </c>
      <c r="N37" s="35" t="e">
        <f>#REF!</f>
        <v>#REF!</v>
      </c>
      <c r="O37" s="35" t="e">
        <f>#REF!</f>
        <v>#REF!</v>
      </c>
      <c r="P37" s="35" t="e">
        <f>#REF!</f>
        <v>#REF!</v>
      </c>
      <c r="Q37" s="35" t="e">
        <f>#REF!</f>
        <v>#REF!</v>
      </c>
      <c r="R37" s="35" t="e">
        <f>#REF!</f>
        <v>#REF!</v>
      </c>
      <c r="S37" s="35" t="e">
        <f>#REF!</f>
        <v>#REF!</v>
      </c>
      <c r="T37" s="35" t="e">
        <f>#REF!</f>
        <v>#REF!</v>
      </c>
      <c r="U37" s="35" t="e">
        <f>#REF!</f>
        <v>#REF!</v>
      </c>
      <c r="V37" s="35" t="e">
        <f>#REF!</f>
        <v>#REF!</v>
      </c>
      <c r="W37" s="35" t="e">
        <f>#REF!</f>
        <v>#REF!</v>
      </c>
      <c r="X37" s="35" t="e">
        <f>#REF!</f>
        <v>#REF!</v>
      </c>
      <c r="Y37" s="35" t="e">
        <f>#REF!</f>
        <v>#REF!</v>
      </c>
      <c r="Z37" s="35" t="e">
        <f>#REF!</f>
        <v>#REF!</v>
      </c>
      <c r="AA37" s="35" t="e">
        <f>#REF!</f>
        <v>#REF!</v>
      </c>
      <c r="AB37" s="35" t="e">
        <f>#REF!</f>
        <v>#REF!</v>
      </c>
      <c r="AC37" s="35" t="e">
        <f>#REF!</f>
        <v>#REF!</v>
      </c>
      <c r="AD37" s="35" t="e">
        <f>#REF!</f>
        <v>#REF!</v>
      </c>
      <c r="AE37" s="35" t="e">
        <f>#REF!</f>
        <v>#REF!</v>
      </c>
      <c r="AF37" s="35" t="e">
        <f>#REF!</f>
        <v>#REF!</v>
      </c>
    </row>
    <row r="38" spans="2:32" s="2" customFormat="1">
      <c r="B38" s="34" t="s">
        <v>76</v>
      </c>
      <c r="C38" s="35" t="e">
        <f>#REF!</f>
        <v>#REF!</v>
      </c>
      <c r="D38" s="35" t="e">
        <f>#REF!</f>
        <v>#REF!</v>
      </c>
      <c r="E38" s="35" t="e">
        <f>#REF!</f>
        <v>#REF!</v>
      </c>
      <c r="F38" s="35" t="e">
        <f>#REF!</f>
        <v>#REF!</v>
      </c>
      <c r="G38" s="35" t="e">
        <f>#REF!</f>
        <v>#REF!</v>
      </c>
      <c r="H38" s="35" t="e">
        <f>#REF!</f>
        <v>#REF!</v>
      </c>
      <c r="I38" s="35" t="e">
        <f>#REF!</f>
        <v>#REF!</v>
      </c>
      <c r="J38" s="35" t="e">
        <f>#REF!</f>
        <v>#REF!</v>
      </c>
      <c r="K38" s="35" t="e">
        <f>#REF!</f>
        <v>#REF!</v>
      </c>
      <c r="L38" s="35" t="e">
        <f>#REF!</f>
        <v>#REF!</v>
      </c>
      <c r="M38" s="35" t="e">
        <f>#REF!</f>
        <v>#REF!</v>
      </c>
      <c r="N38" s="35" t="e">
        <f>#REF!</f>
        <v>#REF!</v>
      </c>
      <c r="O38" s="35" t="e">
        <f>#REF!</f>
        <v>#REF!</v>
      </c>
      <c r="P38" s="35" t="e">
        <f>#REF!</f>
        <v>#REF!</v>
      </c>
      <c r="Q38" s="35" t="e">
        <f>#REF!</f>
        <v>#REF!</v>
      </c>
      <c r="R38" s="35" t="e">
        <f>#REF!</f>
        <v>#REF!</v>
      </c>
      <c r="S38" s="35" t="e">
        <f>#REF!</f>
        <v>#REF!</v>
      </c>
      <c r="T38" s="35" t="e">
        <f>#REF!</f>
        <v>#REF!</v>
      </c>
      <c r="U38" s="35" t="e">
        <f>#REF!</f>
        <v>#REF!</v>
      </c>
      <c r="V38" s="35" t="e">
        <f>#REF!</f>
        <v>#REF!</v>
      </c>
      <c r="W38" s="35" t="e">
        <f>#REF!</f>
        <v>#REF!</v>
      </c>
      <c r="X38" s="35" t="e">
        <f>#REF!</f>
        <v>#REF!</v>
      </c>
      <c r="Y38" s="35" t="e">
        <f>#REF!</f>
        <v>#REF!</v>
      </c>
      <c r="Z38" s="35" t="e">
        <f>#REF!</f>
        <v>#REF!</v>
      </c>
      <c r="AA38" s="35" t="e">
        <f>#REF!</f>
        <v>#REF!</v>
      </c>
      <c r="AB38" s="35" t="e">
        <f>#REF!</f>
        <v>#REF!</v>
      </c>
      <c r="AC38" s="35" t="e">
        <f>#REF!</f>
        <v>#REF!</v>
      </c>
      <c r="AD38" s="35" t="e">
        <f>#REF!</f>
        <v>#REF!</v>
      </c>
      <c r="AE38" s="35" t="e">
        <f>#REF!</f>
        <v>#REF!</v>
      </c>
      <c r="AF38" s="35" t="e">
        <f>#REF!</f>
        <v>#REF!</v>
      </c>
    </row>
  </sheetData>
  <mergeCells count="30">
    <mergeCell ref="BG1:BH1"/>
    <mergeCell ref="BI1:BJ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K1:L1"/>
    <mergeCell ref="M1:N1"/>
    <mergeCell ref="O1:P1"/>
    <mergeCell ref="Q1:R1"/>
    <mergeCell ref="S1:T1"/>
    <mergeCell ref="U1:V1"/>
    <mergeCell ref="C1:D1"/>
    <mergeCell ref="E1:F1"/>
    <mergeCell ref="G1:H1"/>
    <mergeCell ref="I1:J1"/>
  </mergeCells>
  <phoneticPr fontId="24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8"/>
  <sheetViews>
    <sheetView showGridLines="0" zoomScale="110" zoomScaleNormal="110" workbookViewId="0">
      <selection activeCell="U24" sqref="U24"/>
    </sheetView>
  </sheetViews>
  <sheetFormatPr baseColWidth="10" defaultColWidth="10.42578125" defaultRowHeight="20"/>
  <cols>
    <col min="1" max="1" width="26" style="2" customWidth="1"/>
    <col min="2" max="2" width="14" style="2" customWidth="1"/>
    <col min="3" max="62" width="10" style="2" customWidth="1"/>
  </cols>
  <sheetData>
    <row r="1" spans="1:18">
      <c r="A1" s="1" t="s">
        <v>0</v>
      </c>
      <c r="B1" s="3"/>
      <c r="C1" s="4" t="s">
        <v>1</v>
      </c>
      <c r="D1" s="5">
        <v>900</v>
      </c>
      <c r="E1" s="4" t="s">
        <v>1</v>
      </c>
      <c r="F1" s="5">
        <v>353</v>
      </c>
      <c r="G1" s="4" t="s">
        <v>1</v>
      </c>
      <c r="H1" s="5">
        <v>563</v>
      </c>
      <c r="I1" s="4" t="s">
        <v>1</v>
      </c>
      <c r="J1" s="5">
        <v>982</v>
      </c>
      <c r="K1" s="4" t="s">
        <v>1</v>
      </c>
      <c r="L1" s="5">
        <v>440</v>
      </c>
      <c r="M1" s="4" t="s">
        <v>1</v>
      </c>
      <c r="N1" s="5">
        <v>461</v>
      </c>
      <c r="O1" s="4" t="s">
        <v>1</v>
      </c>
      <c r="P1" s="5">
        <v>389</v>
      </c>
      <c r="Q1" s="4" t="s">
        <v>1</v>
      </c>
      <c r="R1" s="5">
        <v>1007</v>
      </c>
    </row>
    <row r="2" spans="1:18">
      <c r="A2" s="1"/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7" t="s">
        <v>6</v>
      </c>
      <c r="H2" s="8" t="s">
        <v>4</v>
      </c>
      <c r="I2" s="7" t="s">
        <v>7</v>
      </c>
      <c r="J2" s="8" t="s">
        <v>4</v>
      </c>
      <c r="K2" s="7" t="s">
        <v>8</v>
      </c>
      <c r="L2" s="8" t="s">
        <v>4</v>
      </c>
      <c r="M2" s="7" t="s">
        <v>9</v>
      </c>
      <c r="N2" s="8" t="s">
        <v>4</v>
      </c>
      <c r="O2" s="7" t="s">
        <v>10</v>
      </c>
      <c r="P2" s="8" t="s">
        <v>4</v>
      </c>
      <c r="Q2" s="7" t="s">
        <v>11</v>
      </c>
      <c r="R2" s="8" t="s">
        <v>4</v>
      </c>
    </row>
    <row r="3" spans="1:18">
      <c r="A3" s="1"/>
      <c r="B3" s="9" t="s">
        <v>12</v>
      </c>
      <c r="C3" s="7">
        <v>1682</v>
      </c>
      <c r="D3" s="10">
        <f>C3/C8</f>
        <v>0.3244598765432099</v>
      </c>
      <c r="E3" s="11">
        <v>862</v>
      </c>
      <c r="F3" s="10">
        <f>E3/E8</f>
        <v>0.43403826787512589</v>
      </c>
      <c r="G3" s="11">
        <v>1176</v>
      </c>
      <c r="H3" s="10">
        <f>G3/G8</f>
        <v>0.5</v>
      </c>
      <c r="I3" s="11">
        <v>2949</v>
      </c>
      <c r="J3" s="10">
        <f>I3/I8</f>
        <v>0.40890183028286192</v>
      </c>
      <c r="K3" s="11">
        <v>1131</v>
      </c>
      <c r="L3" s="10">
        <f>K3/K8</f>
        <v>0.35421233949264014</v>
      </c>
      <c r="M3" s="11">
        <v>1330</v>
      </c>
      <c r="N3" s="10">
        <f>M3/M8</f>
        <v>0.38207411663315138</v>
      </c>
      <c r="O3" s="11">
        <v>1171</v>
      </c>
      <c r="P3" s="10">
        <f>O3/O8</f>
        <v>0.43890554722638681</v>
      </c>
      <c r="Q3" s="11">
        <v>3016</v>
      </c>
      <c r="R3" s="10">
        <f>Q3/Q8</f>
        <v>0.39867812293456706</v>
      </c>
    </row>
    <row r="4" spans="1:18">
      <c r="A4" s="1"/>
      <c r="B4" s="9" t="s">
        <v>13</v>
      </c>
      <c r="C4" s="7">
        <v>1947</v>
      </c>
      <c r="D4" s="10">
        <f>C4/C8</f>
        <v>0.37557870370370372</v>
      </c>
      <c r="E4" s="11">
        <v>956</v>
      </c>
      <c r="F4" s="10">
        <f>E4/E8</f>
        <v>0.4813695871097684</v>
      </c>
      <c r="G4" s="11">
        <v>1359</v>
      </c>
      <c r="H4" s="10">
        <f>G4/G8</f>
        <v>0.57780612244897955</v>
      </c>
      <c r="I4" s="11">
        <v>3412</v>
      </c>
      <c r="J4" s="10">
        <f>I4/I8</f>
        <v>0.47310038824181921</v>
      </c>
      <c r="K4" s="11">
        <v>1335</v>
      </c>
      <c r="L4" s="10">
        <f>K4/K8</f>
        <v>0.41810209834011902</v>
      </c>
      <c r="M4" s="11">
        <v>1550</v>
      </c>
      <c r="N4" s="10">
        <f>M4/M8</f>
        <v>0.4452743464521689</v>
      </c>
      <c r="O4" s="11">
        <v>1357</v>
      </c>
      <c r="P4" s="10">
        <f>O4/O8</f>
        <v>0.50862068965517238</v>
      </c>
      <c r="Q4" s="11">
        <v>3618</v>
      </c>
      <c r="R4" s="10">
        <f>Q4/Q8</f>
        <v>0.47825512227362854</v>
      </c>
    </row>
    <row r="5" spans="1:18">
      <c r="A5" s="1"/>
      <c r="B5" s="9" t="s">
        <v>14</v>
      </c>
      <c r="C5" s="7">
        <v>2141</v>
      </c>
      <c r="D5" s="10">
        <f>C5/C8</f>
        <v>0.41300154320987653</v>
      </c>
      <c r="E5" s="11">
        <v>1027</v>
      </c>
      <c r="F5" s="10">
        <f>E5/E8</f>
        <v>0.51711983887210478</v>
      </c>
      <c r="G5" s="11">
        <v>1486</v>
      </c>
      <c r="H5" s="10">
        <f>G5/G8</f>
        <v>0.63180272108843538</v>
      </c>
      <c r="I5" s="11">
        <v>3733</v>
      </c>
      <c r="J5" s="10">
        <f>I5/I8</f>
        <v>0.51760953965612866</v>
      </c>
      <c r="K5" s="11">
        <v>1456</v>
      </c>
      <c r="L5" s="10">
        <f>K5/K8</f>
        <v>0.45599749451926086</v>
      </c>
      <c r="M5" s="11">
        <v>1687</v>
      </c>
      <c r="N5" s="10">
        <f>M5/M8</f>
        <v>0.48463085320310256</v>
      </c>
      <c r="O5" s="11">
        <v>1445</v>
      </c>
      <c r="P5" s="10">
        <f>O5/O8</f>
        <v>0.54160419790104952</v>
      </c>
      <c r="Q5" s="11">
        <v>3963</v>
      </c>
      <c r="R5" s="10">
        <f>Q5/Q8</f>
        <v>0.52385988103106407</v>
      </c>
    </row>
    <row r="6" spans="1:18">
      <c r="A6" s="1"/>
      <c r="B6" s="9" t="s">
        <v>15</v>
      </c>
      <c r="C6" s="7">
        <v>2592</v>
      </c>
      <c r="D6" s="10">
        <f>C6/C8</f>
        <v>0.5</v>
      </c>
      <c r="E6" s="11">
        <v>1212</v>
      </c>
      <c r="F6" s="10">
        <f>E6/E8</f>
        <v>0.61027190332326287</v>
      </c>
      <c r="G6" s="11">
        <v>1765</v>
      </c>
      <c r="H6" s="10">
        <f>G6/G8</f>
        <v>0.75042517006802723</v>
      </c>
      <c r="I6" s="11">
        <v>4375</v>
      </c>
      <c r="J6" s="10">
        <f>I6/I8</f>
        <v>0.60662784248474766</v>
      </c>
      <c r="K6" s="11">
        <v>1777</v>
      </c>
      <c r="L6" s="10">
        <f>K6/K8</f>
        <v>0.55652990917632317</v>
      </c>
      <c r="M6" s="11">
        <v>1974</v>
      </c>
      <c r="N6" s="10">
        <f>M6/M8</f>
        <v>0.56707842573973</v>
      </c>
      <c r="O6" s="11">
        <v>1675</v>
      </c>
      <c r="P6" s="10">
        <f>O6/O8</f>
        <v>0.62781109445277361</v>
      </c>
      <c r="Q6" s="11">
        <v>4739</v>
      </c>
      <c r="R6" s="10">
        <f>Q6/Q8</f>
        <v>0.62643754130865825</v>
      </c>
    </row>
    <row r="7" spans="1:18">
      <c r="A7" s="1"/>
      <c r="B7" s="12" t="s">
        <v>16</v>
      </c>
      <c r="C7" s="7">
        <v>3189</v>
      </c>
      <c r="D7" s="10">
        <f>C7/C8</f>
        <v>0.61516203703703709</v>
      </c>
      <c r="E7" s="11">
        <v>1475</v>
      </c>
      <c r="F7" s="10">
        <f>E7/E8</f>
        <v>0.74269889224572005</v>
      </c>
      <c r="G7" s="11">
        <v>2203</v>
      </c>
      <c r="H7" s="10">
        <f>G7/G8</f>
        <v>0.93664965986394555</v>
      </c>
      <c r="I7" s="11">
        <v>5308</v>
      </c>
      <c r="J7" s="10">
        <f>I7/I8</f>
        <v>0.73599556295063784</v>
      </c>
      <c r="K7" s="11">
        <v>2231</v>
      </c>
      <c r="L7" s="10">
        <f>K7/K8</f>
        <v>0.69871594112120261</v>
      </c>
      <c r="M7" s="11">
        <v>2453</v>
      </c>
      <c r="N7" s="10">
        <f>M7/M8</f>
        <v>0.70468256248204542</v>
      </c>
      <c r="O7" s="11">
        <v>1987</v>
      </c>
      <c r="P7" s="10">
        <f>O7/O8</f>
        <v>0.74475262368815587</v>
      </c>
      <c r="Q7" s="11">
        <v>5663</v>
      </c>
      <c r="R7" s="10">
        <f>Q7/Q8</f>
        <v>0.74857898215465957</v>
      </c>
    </row>
    <row r="8" spans="1:18" ht="21" customHeight="1">
      <c r="A8" s="1"/>
      <c r="B8" s="9" t="s">
        <v>17</v>
      </c>
      <c r="C8" s="13">
        <v>5184</v>
      </c>
      <c r="D8" s="14">
        <f>C8/C8</f>
        <v>1</v>
      </c>
      <c r="E8" s="15">
        <v>1986</v>
      </c>
      <c r="F8" s="14">
        <f>E8/E8</f>
        <v>1</v>
      </c>
      <c r="G8" s="15">
        <v>2352</v>
      </c>
      <c r="H8" s="14">
        <f>G8/G8</f>
        <v>1</v>
      </c>
      <c r="I8" s="15">
        <v>7212</v>
      </c>
      <c r="J8" s="14">
        <f>I8/I8</f>
        <v>1</v>
      </c>
      <c r="K8" s="15">
        <v>3193</v>
      </c>
      <c r="L8" s="14">
        <f>K8/K8</f>
        <v>1</v>
      </c>
      <c r="M8" s="15">
        <v>3481</v>
      </c>
      <c r="N8" s="14">
        <f>M8/M8</f>
        <v>1</v>
      </c>
      <c r="O8" s="15">
        <v>2668</v>
      </c>
      <c r="P8" s="14">
        <f>O8/O8</f>
        <v>1</v>
      </c>
      <c r="Q8" s="15">
        <v>7565</v>
      </c>
      <c r="R8" s="14">
        <f>Q8/Q8</f>
        <v>1</v>
      </c>
    </row>
    <row r="10" spans="1:18" ht="21" customHeight="1"/>
    <row r="11" spans="1:18">
      <c r="A11" s="1" t="s">
        <v>18</v>
      </c>
      <c r="B11" s="3"/>
      <c r="C11" s="4" t="s">
        <v>1</v>
      </c>
      <c r="D11" s="5">
        <v>900</v>
      </c>
      <c r="E11" s="4" t="s">
        <v>1</v>
      </c>
      <c r="F11" s="5">
        <v>353</v>
      </c>
      <c r="G11" s="4" t="s">
        <v>1</v>
      </c>
      <c r="H11" s="5">
        <v>563</v>
      </c>
      <c r="I11" s="4" t="s">
        <v>1</v>
      </c>
      <c r="J11" s="5">
        <v>982</v>
      </c>
      <c r="K11" s="4" t="s">
        <v>1</v>
      </c>
      <c r="L11" s="5">
        <v>440</v>
      </c>
      <c r="M11" s="4" t="s">
        <v>1</v>
      </c>
      <c r="N11" s="5">
        <v>461</v>
      </c>
      <c r="O11" s="4" t="s">
        <v>1</v>
      </c>
      <c r="P11" s="5">
        <v>389</v>
      </c>
      <c r="Q11" s="4" t="s">
        <v>1</v>
      </c>
      <c r="R11" s="5">
        <v>1007</v>
      </c>
    </row>
    <row r="12" spans="1:18">
      <c r="A12" s="1"/>
      <c r="B12" s="6" t="s">
        <v>2</v>
      </c>
      <c r="C12" s="7" t="s">
        <v>3</v>
      </c>
      <c r="D12" s="8" t="s">
        <v>4</v>
      </c>
      <c r="E12" s="7" t="s">
        <v>5</v>
      </c>
      <c r="F12" s="8" t="s">
        <v>4</v>
      </c>
      <c r="G12" s="7" t="s">
        <v>6</v>
      </c>
      <c r="H12" s="8" t="s">
        <v>4</v>
      </c>
      <c r="I12" s="7" t="s">
        <v>7</v>
      </c>
      <c r="J12" s="8" t="s">
        <v>4</v>
      </c>
      <c r="K12" s="7" t="s">
        <v>8</v>
      </c>
      <c r="L12" s="8" t="s">
        <v>4</v>
      </c>
      <c r="M12" s="7" t="s">
        <v>9</v>
      </c>
      <c r="N12" s="8" t="s">
        <v>4</v>
      </c>
      <c r="O12" s="7" t="s">
        <v>10</v>
      </c>
      <c r="P12" s="8" t="s">
        <v>4</v>
      </c>
      <c r="Q12" s="7" t="s">
        <v>11</v>
      </c>
      <c r="R12" s="8" t="s">
        <v>4</v>
      </c>
    </row>
    <row r="13" spans="1:18">
      <c r="A13" s="1"/>
      <c r="B13" s="9" t="s">
        <v>12</v>
      </c>
      <c r="C13" s="7">
        <v>1642</v>
      </c>
      <c r="D13" s="10">
        <f>C13/C18</f>
        <v>0.31169324221716022</v>
      </c>
      <c r="E13" s="11">
        <v>854</v>
      </c>
      <c r="F13" s="10">
        <f>E13/E18</f>
        <v>0.44409776391055644</v>
      </c>
      <c r="G13" s="11">
        <v>1209</v>
      </c>
      <c r="H13" s="10">
        <f>G13/G18</f>
        <v>0.34483742156303482</v>
      </c>
      <c r="I13" s="11">
        <v>1454</v>
      </c>
      <c r="J13" s="10">
        <f>I13/I18</f>
        <v>0.44410507025045814</v>
      </c>
      <c r="K13" s="11">
        <v>1163</v>
      </c>
      <c r="L13" s="10">
        <f>K13/K18</f>
        <v>0.36873811033608117</v>
      </c>
      <c r="M13" s="11">
        <v>1243</v>
      </c>
      <c r="N13" s="10">
        <f>M13/M18</f>
        <v>0.36786031370227879</v>
      </c>
      <c r="O13" s="11">
        <v>1226</v>
      </c>
      <c r="P13" s="10">
        <f>O13/O18</f>
        <v>0.46281615704039258</v>
      </c>
      <c r="Q13" s="11">
        <v>3241</v>
      </c>
      <c r="R13" s="10">
        <f>Q13/Q18</f>
        <v>0.43161539485950196</v>
      </c>
    </row>
    <row r="14" spans="1:18">
      <c r="A14" s="1"/>
      <c r="B14" s="9" t="s">
        <v>13</v>
      </c>
      <c r="C14" s="7">
        <v>1987</v>
      </c>
      <c r="D14" s="10">
        <f>C14/C18</f>
        <v>0.37718299164768415</v>
      </c>
      <c r="E14" s="11">
        <v>981</v>
      </c>
      <c r="F14" s="10">
        <f>E14/E18</f>
        <v>0.51014040561622465</v>
      </c>
      <c r="G14" s="11">
        <v>1405</v>
      </c>
      <c r="H14" s="10">
        <f>G14/G18</f>
        <v>0.40074158585282371</v>
      </c>
      <c r="I14" s="11">
        <v>1655</v>
      </c>
      <c r="J14" s="10">
        <f>I14/I18</f>
        <v>0.50549786194257784</v>
      </c>
      <c r="K14" s="11">
        <v>1366</v>
      </c>
      <c r="L14" s="10">
        <f>K14/K18</f>
        <v>0.43310082435003172</v>
      </c>
      <c r="M14" s="11">
        <v>1466</v>
      </c>
      <c r="N14" s="10">
        <f>M14/M18</f>
        <v>0.43385617046463448</v>
      </c>
      <c r="O14" s="11">
        <v>1385</v>
      </c>
      <c r="P14" s="10">
        <f>O14/O18</f>
        <v>0.52283880709701769</v>
      </c>
      <c r="Q14" s="11">
        <v>3816</v>
      </c>
      <c r="R14" s="10">
        <f>Q14/Q18</f>
        <v>0.5081901717938474</v>
      </c>
    </row>
    <row r="15" spans="1:18">
      <c r="A15" s="1"/>
      <c r="B15" s="9" t="s">
        <v>14</v>
      </c>
      <c r="C15" s="7">
        <v>2186</v>
      </c>
      <c r="D15" s="10">
        <f>C15/C18</f>
        <v>0.41495823842065299</v>
      </c>
      <c r="E15" s="11">
        <v>1062</v>
      </c>
      <c r="F15" s="10">
        <f>E15/E18</f>
        <v>0.55226209048361929</v>
      </c>
      <c r="G15" s="11">
        <v>1532</v>
      </c>
      <c r="H15" s="10">
        <f>G15/G18</f>
        <v>0.43696520250998289</v>
      </c>
      <c r="I15" s="11">
        <v>1745</v>
      </c>
      <c r="J15" s="10">
        <f>I15/I18</f>
        <v>0.53298717165546727</v>
      </c>
      <c r="K15" s="11">
        <v>1478</v>
      </c>
      <c r="L15" s="10">
        <f>K15/K18</f>
        <v>0.46861128725428031</v>
      </c>
      <c r="M15" s="11">
        <v>1595</v>
      </c>
      <c r="N15" s="10">
        <f>M15/M18</f>
        <v>0.47203314590115419</v>
      </c>
      <c r="O15" s="11">
        <v>1474</v>
      </c>
      <c r="P15" s="10">
        <f>O15/O18</f>
        <v>0.55643639109097776</v>
      </c>
      <c r="Q15" s="11">
        <v>4124</v>
      </c>
      <c r="R15" s="10">
        <f>Q15/Q18</f>
        <v>0.54920761752563585</v>
      </c>
    </row>
    <row r="16" spans="1:18">
      <c r="A16" s="1"/>
      <c r="B16" s="9" t="s">
        <v>15</v>
      </c>
      <c r="C16" s="7">
        <v>3753</v>
      </c>
      <c r="D16" s="10">
        <f>C16/C18</f>
        <v>0.7124145785876993</v>
      </c>
      <c r="E16" s="11">
        <v>1582</v>
      </c>
      <c r="F16" s="10">
        <f>E16/E18</f>
        <v>0.8226729069162767</v>
      </c>
      <c r="G16" s="11">
        <v>2679</v>
      </c>
      <c r="H16" s="10">
        <f>G16/G18</f>
        <v>0.76411865373645182</v>
      </c>
      <c r="I16" s="11">
        <v>2514</v>
      </c>
      <c r="J16" s="10">
        <f>I16/I18</f>
        <v>0.7678680513133781</v>
      </c>
      <c r="K16" s="11">
        <v>2447</v>
      </c>
      <c r="L16" s="10">
        <f>K16/K18</f>
        <v>0.7758402029169309</v>
      </c>
      <c r="M16" s="11">
        <v>2703</v>
      </c>
      <c r="N16" s="10">
        <f>M16/M18</f>
        <v>0.79994081089079605</v>
      </c>
      <c r="O16" s="11">
        <v>2182</v>
      </c>
      <c r="P16" s="10">
        <f>O16/O18</f>
        <v>0.8237070592676482</v>
      </c>
      <c r="Q16" s="11">
        <v>6192</v>
      </c>
      <c r="R16" s="10">
        <f>Q16/Q18</f>
        <v>0.82461046743907307</v>
      </c>
    </row>
    <row r="17" spans="1:62">
      <c r="A17" s="1"/>
      <c r="B17" s="12" t="s">
        <v>16</v>
      </c>
      <c r="C17" s="7">
        <v>4346</v>
      </c>
      <c r="D17" s="10">
        <f>C17/C18</f>
        <v>0.82498101746393315</v>
      </c>
      <c r="E17" s="11">
        <v>1718</v>
      </c>
      <c r="F17" s="10">
        <f>E17/E18</f>
        <v>0.89339573582943321</v>
      </c>
      <c r="G17" s="11">
        <v>3038</v>
      </c>
      <c r="H17" s="10">
        <f>G17/G18</f>
        <v>0.86651454649172843</v>
      </c>
      <c r="I17" s="11">
        <v>2760</v>
      </c>
      <c r="J17" s="10">
        <f>I17/I18</f>
        <v>0.84300549786194257</v>
      </c>
      <c r="K17" s="11">
        <v>2728</v>
      </c>
      <c r="L17" s="10">
        <f>K17/K18</f>
        <v>0.86493341788205458</v>
      </c>
      <c r="M17" s="11">
        <v>3014</v>
      </c>
      <c r="N17" s="10">
        <f>M17/M18</f>
        <v>0.89197987570287063</v>
      </c>
      <c r="O17" s="11">
        <v>2390</v>
      </c>
      <c r="P17" s="10">
        <f>O17/O18</f>
        <v>0.90222725556813888</v>
      </c>
      <c r="Q17" s="11">
        <v>6728</v>
      </c>
      <c r="R17" s="10">
        <f>Q17/Q18</f>
        <v>0.8959914768943934</v>
      </c>
    </row>
    <row r="18" spans="1:62" ht="21" customHeight="1">
      <c r="A18" s="1"/>
      <c r="B18" s="9" t="s">
        <v>17</v>
      </c>
      <c r="C18" s="13">
        <v>5268</v>
      </c>
      <c r="D18" s="14">
        <f>C18/C18</f>
        <v>1</v>
      </c>
      <c r="E18" s="15">
        <v>1923</v>
      </c>
      <c r="F18" s="14">
        <f>E18/E18</f>
        <v>1</v>
      </c>
      <c r="G18" s="15">
        <v>3506</v>
      </c>
      <c r="H18" s="14">
        <f>G18/G18</f>
        <v>1</v>
      </c>
      <c r="I18" s="15">
        <v>3274</v>
      </c>
      <c r="J18" s="14">
        <f>I18/I18</f>
        <v>1</v>
      </c>
      <c r="K18" s="15">
        <v>3154</v>
      </c>
      <c r="L18" s="14">
        <f>K18/K18</f>
        <v>1</v>
      </c>
      <c r="M18" s="15">
        <v>3379</v>
      </c>
      <c r="N18" s="14">
        <f>M18/M18</f>
        <v>1</v>
      </c>
      <c r="O18" s="15">
        <v>2649</v>
      </c>
      <c r="P18" s="14">
        <f>O18/O18</f>
        <v>1</v>
      </c>
      <c r="Q18" s="15">
        <v>7509</v>
      </c>
      <c r="R18" s="14">
        <f>Q18/Q18</f>
        <v>1</v>
      </c>
    </row>
    <row r="21" spans="1:62" ht="21" customHeight="1">
      <c r="B21" s="16" t="s">
        <v>19</v>
      </c>
      <c r="C21" s="17">
        <v>100</v>
      </c>
      <c r="E21" s="17">
        <v>200</v>
      </c>
      <c r="G21" s="17">
        <v>300</v>
      </c>
      <c r="I21" s="17">
        <v>400</v>
      </c>
      <c r="K21" s="17">
        <v>500</v>
      </c>
      <c r="M21" s="17">
        <v>600</v>
      </c>
      <c r="O21" s="17">
        <v>700</v>
      </c>
      <c r="Q21" s="17">
        <v>800</v>
      </c>
      <c r="S21" s="17">
        <v>900</v>
      </c>
      <c r="U21" s="17">
        <v>1000</v>
      </c>
      <c r="W21" s="17">
        <v>1100</v>
      </c>
      <c r="Y21" s="17">
        <v>1200</v>
      </c>
      <c r="AA21" s="17">
        <v>1300</v>
      </c>
      <c r="AC21" s="17">
        <v>1400</v>
      </c>
      <c r="AE21" s="17">
        <v>1500</v>
      </c>
      <c r="AG21" s="17">
        <v>1600</v>
      </c>
      <c r="AI21" s="17">
        <v>1700</v>
      </c>
      <c r="AK21" s="17">
        <v>1800</v>
      </c>
      <c r="AM21" s="17">
        <v>1900</v>
      </c>
      <c r="AO21" s="17">
        <v>2000</v>
      </c>
      <c r="AQ21" s="17">
        <v>2100</v>
      </c>
      <c r="AS21" s="17">
        <v>2200</v>
      </c>
      <c r="AU21" s="17">
        <v>2300</v>
      </c>
      <c r="AW21" s="17">
        <v>2400</v>
      </c>
      <c r="AY21" s="17">
        <v>2500</v>
      </c>
      <c r="BA21" s="17">
        <v>2600</v>
      </c>
      <c r="BC21" s="17">
        <v>2700</v>
      </c>
      <c r="BE21" s="17">
        <v>2800</v>
      </c>
      <c r="BG21" s="17">
        <v>2900</v>
      </c>
      <c r="BI21" s="17">
        <v>3000</v>
      </c>
    </row>
    <row r="22" spans="1:62" ht="32">
      <c r="A22" s="18" t="s">
        <v>20</v>
      </c>
      <c r="B22" s="19" t="s">
        <v>2</v>
      </c>
      <c r="C22" s="20" t="s">
        <v>21</v>
      </c>
      <c r="D22" s="20" t="s">
        <v>22</v>
      </c>
      <c r="E22" s="20" t="s">
        <v>23</v>
      </c>
      <c r="F22" s="20" t="s">
        <v>22</v>
      </c>
      <c r="G22" s="20" t="s">
        <v>24</v>
      </c>
      <c r="H22" s="20" t="s">
        <v>22</v>
      </c>
      <c r="I22" s="20" t="s">
        <v>25</v>
      </c>
      <c r="J22" s="20" t="s">
        <v>22</v>
      </c>
      <c r="K22" s="20" t="s">
        <v>26</v>
      </c>
      <c r="L22" s="20" t="s">
        <v>22</v>
      </c>
      <c r="M22" s="20" t="s">
        <v>27</v>
      </c>
      <c r="N22" s="20" t="s">
        <v>22</v>
      </c>
      <c r="O22" s="20" t="s">
        <v>28</v>
      </c>
      <c r="P22" s="20" t="s">
        <v>22</v>
      </c>
      <c r="Q22" s="20" t="s">
        <v>29</v>
      </c>
      <c r="R22" s="20" t="s">
        <v>22</v>
      </c>
      <c r="S22" s="20" t="s">
        <v>30</v>
      </c>
      <c r="T22" s="20" t="s">
        <v>22</v>
      </c>
      <c r="U22" s="20" t="s">
        <v>31</v>
      </c>
      <c r="V22" s="20" t="s">
        <v>22</v>
      </c>
      <c r="W22" s="20" t="s">
        <v>32</v>
      </c>
      <c r="X22" s="20" t="s">
        <v>22</v>
      </c>
      <c r="Y22" s="20" t="s">
        <v>33</v>
      </c>
      <c r="Z22" s="20" t="s">
        <v>22</v>
      </c>
      <c r="AA22" s="20" t="s">
        <v>34</v>
      </c>
      <c r="AB22" s="20" t="s">
        <v>22</v>
      </c>
      <c r="AC22" s="20" t="s">
        <v>35</v>
      </c>
      <c r="AD22" s="20" t="s">
        <v>22</v>
      </c>
      <c r="AE22" s="20" t="s">
        <v>36</v>
      </c>
      <c r="AF22" s="20" t="s">
        <v>22</v>
      </c>
      <c r="AG22" s="20" t="s">
        <v>37</v>
      </c>
      <c r="AH22" s="20" t="s">
        <v>22</v>
      </c>
      <c r="AI22" s="20" t="s">
        <v>38</v>
      </c>
      <c r="AJ22" s="20" t="s">
        <v>22</v>
      </c>
      <c r="AK22" s="20" t="s">
        <v>39</v>
      </c>
      <c r="AL22" s="20" t="s">
        <v>22</v>
      </c>
      <c r="AM22" s="20" t="s">
        <v>40</v>
      </c>
      <c r="AN22" s="20" t="s">
        <v>22</v>
      </c>
      <c r="AO22" s="20" t="s">
        <v>41</v>
      </c>
      <c r="AP22" s="20" t="s">
        <v>22</v>
      </c>
      <c r="AQ22" s="20" t="s">
        <v>42</v>
      </c>
      <c r="AR22" s="20" t="s">
        <v>22</v>
      </c>
      <c r="AS22" s="20" t="s">
        <v>43</v>
      </c>
      <c r="AT22" s="20" t="s">
        <v>22</v>
      </c>
      <c r="AU22" s="20" t="s">
        <v>44</v>
      </c>
      <c r="AV22" s="20" t="s">
        <v>22</v>
      </c>
      <c r="AW22" s="20" t="s">
        <v>45</v>
      </c>
      <c r="AX22" s="20" t="s">
        <v>22</v>
      </c>
      <c r="AY22" s="20" t="s">
        <v>46</v>
      </c>
      <c r="AZ22" s="20" t="s">
        <v>22</v>
      </c>
      <c r="BA22" s="20" t="s">
        <v>47</v>
      </c>
      <c r="BB22" s="20" t="s">
        <v>22</v>
      </c>
      <c r="BC22" s="20" t="s">
        <v>48</v>
      </c>
      <c r="BD22" s="20" t="s">
        <v>22</v>
      </c>
      <c r="BE22" s="20" t="s">
        <v>49</v>
      </c>
      <c r="BF22" s="20" t="s">
        <v>22</v>
      </c>
      <c r="BG22" s="20" t="s">
        <v>50</v>
      </c>
      <c r="BH22" s="20" t="s">
        <v>22</v>
      </c>
      <c r="BI22" s="20" t="s">
        <v>51</v>
      </c>
      <c r="BJ22" s="20" t="s">
        <v>22</v>
      </c>
    </row>
    <row r="23" spans="1:62">
      <c r="B23" s="21" t="s">
        <v>52</v>
      </c>
      <c r="C23" s="22">
        <f>ROUND(C$21*$E$52*$E$53,0)</f>
        <v>255</v>
      </c>
      <c r="D23" s="23">
        <f>$E$53</f>
        <v>0.40106459842921294</v>
      </c>
      <c r="E23" s="22">
        <f>ROUND(E$21*$E$52*$E$53,0)</f>
        <v>510</v>
      </c>
      <c r="F23" s="23">
        <f>$E$53</f>
        <v>0.40106459842921294</v>
      </c>
      <c r="G23" s="22">
        <f>ROUND(G$21*$E$52*$E$53,0)</f>
        <v>765</v>
      </c>
      <c r="H23" s="23">
        <f>$E$53</f>
        <v>0.40106459842921294</v>
      </c>
      <c r="I23" s="22">
        <f>ROUND(I$21*$E$52*$E$53,0)</f>
        <v>1020</v>
      </c>
      <c r="J23" s="23">
        <f>$E$53</f>
        <v>0.40106459842921294</v>
      </c>
      <c r="K23" s="22">
        <f>ROUND(K$21*$E$52*$E$53,0)</f>
        <v>1275</v>
      </c>
      <c r="L23" s="23">
        <f>$E$53</f>
        <v>0.40106459842921294</v>
      </c>
      <c r="M23" s="22">
        <f>ROUND(M$21*$E$52*$E$53,0)</f>
        <v>1530</v>
      </c>
      <c r="N23" s="23">
        <f>$E$53</f>
        <v>0.40106459842921294</v>
      </c>
      <c r="O23" s="22">
        <f>ROUND(O$21*$E$52*$E$53,0)</f>
        <v>1785</v>
      </c>
      <c r="P23" s="23">
        <f>$E$53</f>
        <v>0.40106459842921294</v>
      </c>
      <c r="Q23" s="22">
        <f>ROUND(Q$21*$E$52*$E$53,0)</f>
        <v>2040</v>
      </c>
      <c r="R23" s="23">
        <f>$E$53</f>
        <v>0.40106459842921294</v>
      </c>
      <c r="S23" s="22">
        <f>ROUND(S$21*$E$52*$E$53,0)</f>
        <v>2295</v>
      </c>
      <c r="T23" s="23">
        <f>$E$53</f>
        <v>0.40106459842921294</v>
      </c>
      <c r="U23" s="22">
        <f>ROUND(U$21*$E$52*$E$53,0)</f>
        <v>2550</v>
      </c>
      <c r="V23" s="23">
        <f>$E$53</f>
        <v>0.40106459842921294</v>
      </c>
      <c r="W23" s="22">
        <f>ROUND(W$21*$E$52*$E$53,0)</f>
        <v>2805</v>
      </c>
      <c r="X23" s="23">
        <f>$E$53</f>
        <v>0.40106459842921294</v>
      </c>
      <c r="Y23" s="22">
        <f>ROUND(Y$21*$E$52*$E$53,0)</f>
        <v>3060</v>
      </c>
      <c r="Z23" s="23">
        <f>$E$53</f>
        <v>0.40106459842921294</v>
      </c>
      <c r="AA23" s="22">
        <f>ROUND(AA$21*$E$52*$E$53,0)</f>
        <v>3314</v>
      </c>
      <c r="AB23" s="23">
        <f>$E$53</f>
        <v>0.40106459842921294</v>
      </c>
      <c r="AC23" s="22">
        <f>ROUND(AC$21*$E$52*$E$53,0)</f>
        <v>3569</v>
      </c>
      <c r="AD23" s="23">
        <f>$E$53</f>
        <v>0.40106459842921294</v>
      </c>
      <c r="AE23" s="22">
        <f>ROUND(AE$21*$E$52*$E$53,0)</f>
        <v>3824</v>
      </c>
      <c r="AF23" s="23">
        <f>$E$53</f>
        <v>0.40106459842921294</v>
      </c>
      <c r="AG23" s="22">
        <f>ROUND(AG$21*$E$52*$E$53,0)</f>
        <v>4079</v>
      </c>
      <c r="AH23" s="23">
        <f>$E$53</f>
        <v>0.40106459842921294</v>
      </c>
      <c r="AI23" s="22">
        <f>ROUND(AI$21*$E$52*$E$53,0)</f>
        <v>4334</v>
      </c>
      <c r="AJ23" s="23">
        <f>$E$53</f>
        <v>0.40106459842921294</v>
      </c>
      <c r="AK23" s="22">
        <f>ROUND(AK$21*$E$52*$E$53,0)</f>
        <v>4589</v>
      </c>
      <c r="AL23" s="23">
        <f>$E$53</f>
        <v>0.40106459842921294</v>
      </c>
      <c r="AM23" s="22">
        <f>ROUND(AM$21*$E$52*$E$53,0)</f>
        <v>4844</v>
      </c>
      <c r="AN23" s="23">
        <f>$E$53</f>
        <v>0.40106459842921294</v>
      </c>
      <c r="AO23" s="22">
        <f>ROUND(AO$21*$E$52*$E$53,0)</f>
        <v>5099</v>
      </c>
      <c r="AP23" s="23">
        <f>$E$53</f>
        <v>0.40106459842921294</v>
      </c>
      <c r="AQ23" s="22">
        <f>ROUND(AQ$21*$E$52*$E$53,0)</f>
        <v>5354</v>
      </c>
      <c r="AR23" s="23">
        <f>$E$53</f>
        <v>0.40106459842921294</v>
      </c>
      <c r="AS23" s="22">
        <f>ROUND(AS$21*$E$52*$E$53,0)</f>
        <v>5609</v>
      </c>
      <c r="AT23" s="23">
        <f>$E$53</f>
        <v>0.40106459842921294</v>
      </c>
      <c r="AU23" s="22">
        <f>ROUND(AU$21*$E$52*$E$53,0)</f>
        <v>5864</v>
      </c>
      <c r="AV23" s="23">
        <f>$E$53</f>
        <v>0.40106459842921294</v>
      </c>
      <c r="AW23" s="22">
        <f>ROUND(AW$21*$E$52*$E$53,0)</f>
        <v>6119</v>
      </c>
      <c r="AX23" s="23">
        <f>$E$53</f>
        <v>0.40106459842921294</v>
      </c>
      <c r="AY23" s="22">
        <f>ROUND(AY$21*$E$52*$E$53,0)</f>
        <v>6374</v>
      </c>
      <c r="AZ23" s="23">
        <f>$E$53</f>
        <v>0.40106459842921294</v>
      </c>
      <c r="BA23" s="22">
        <f>ROUND(BA$21*$E$52*$E$53,0)</f>
        <v>6629</v>
      </c>
      <c r="BB23" s="23">
        <f>$E$53</f>
        <v>0.40106459842921294</v>
      </c>
      <c r="BC23" s="22">
        <f>ROUND(BC$21*$E$52*$E$53,0)</f>
        <v>6884</v>
      </c>
      <c r="BD23" s="23">
        <f>$E$53</f>
        <v>0.40106459842921294</v>
      </c>
      <c r="BE23" s="22">
        <f>ROUND(BE$21*$E$52*$E$53,0)</f>
        <v>7139</v>
      </c>
      <c r="BF23" s="23">
        <f>$E$53</f>
        <v>0.40106459842921294</v>
      </c>
      <c r="BG23" s="22">
        <f>ROUND(BG$21*$E$52*$E$53,0)</f>
        <v>7394</v>
      </c>
      <c r="BH23" s="23">
        <f>$E$53</f>
        <v>0.40106459842921294</v>
      </c>
      <c r="BI23" s="22">
        <f>ROUND(BI$21*$E$52*$E$53,0)</f>
        <v>7649</v>
      </c>
      <c r="BJ23" s="23">
        <f>$E$53</f>
        <v>0.40106459842921294</v>
      </c>
    </row>
    <row r="24" spans="1:62">
      <c r="B24" s="21" t="s">
        <v>53</v>
      </c>
      <c r="C24" s="22">
        <f>ROUND(C$21*$E$52*$E$54,0)</f>
        <v>296</v>
      </c>
      <c r="D24" s="23">
        <f>$E$54</f>
        <v>0.46560349231188758</v>
      </c>
      <c r="E24" s="22">
        <f>ROUND(E$21*$E$52*$E$54,0)</f>
        <v>592</v>
      </c>
      <c r="F24" s="23">
        <f>$E$54</f>
        <v>0.46560349231188758</v>
      </c>
      <c r="G24" s="22">
        <f>ROUND(G$21*$E$52*$E$54,0)</f>
        <v>888</v>
      </c>
      <c r="H24" s="23">
        <f>$E$54</f>
        <v>0.46560349231188758</v>
      </c>
      <c r="I24" s="22">
        <f>ROUND(I$21*$E$52*$E$54,0)</f>
        <v>1184</v>
      </c>
      <c r="J24" s="23">
        <f>$E$54</f>
        <v>0.46560349231188758</v>
      </c>
      <c r="K24" s="22">
        <f>ROUND(K$21*$E$52*$E$54,0)</f>
        <v>1480</v>
      </c>
      <c r="L24" s="23">
        <f>$E$54</f>
        <v>0.46560349231188758</v>
      </c>
      <c r="M24" s="22">
        <f>ROUND(M$21*$E$52*$E$54,0)</f>
        <v>1776</v>
      </c>
      <c r="N24" s="23">
        <f>$E$54</f>
        <v>0.46560349231188758</v>
      </c>
      <c r="O24" s="22">
        <f>ROUND(O$21*$E$52*$E$54,0)</f>
        <v>2072</v>
      </c>
      <c r="P24" s="23">
        <f>$E$54</f>
        <v>0.46560349231188758</v>
      </c>
      <c r="Q24" s="22">
        <f>ROUND(Q$21*$E$52*$E$54,0)</f>
        <v>2368</v>
      </c>
      <c r="R24" s="23">
        <f>$E$54</f>
        <v>0.46560349231188758</v>
      </c>
      <c r="S24" s="22">
        <f>ROUND(S$21*$E$52*$E$54,0)</f>
        <v>2664</v>
      </c>
      <c r="T24" s="23">
        <f>$E$54</f>
        <v>0.46560349231188758</v>
      </c>
      <c r="U24" s="22">
        <f>ROUND(U$21*$E$52*$E$54,0)</f>
        <v>2960</v>
      </c>
      <c r="V24" s="23">
        <f>$E$54</f>
        <v>0.46560349231188758</v>
      </c>
      <c r="W24" s="22">
        <f>ROUND(W$21*$E$52*$E$54,0)</f>
        <v>3256</v>
      </c>
      <c r="X24" s="23">
        <f>$E$54</f>
        <v>0.46560349231188758</v>
      </c>
      <c r="Y24" s="22">
        <f>ROUND(Y$21*$E$52*$E$54,0)</f>
        <v>3552</v>
      </c>
      <c r="Z24" s="23">
        <f>$E$54</f>
        <v>0.46560349231188758</v>
      </c>
      <c r="AA24" s="22">
        <f>ROUND(AA$21*$E$52*$E$54,0)</f>
        <v>3848</v>
      </c>
      <c r="AB24" s="23">
        <f>$E$54</f>
        <v>0.46560349231188758</v>
      </c>
      <c r="AC24" s="22">
        <f>ROUND(AC$21*$E$52*$E$54,0)</f>
        <v>4144</v>
      </c>
      <c r="AD24" s="23">
        <f>$E$54</f>
        <v>0.46560349231188758</v>
      </c>
      <c r="AE24" s="22">
        <f>ROUND(AE$21*$E$52*$E$54,0)</f>
        <v>4440</v>
      </c>
      <c r="AF24" s="23">
        <f>$E$54</f>
        <v>0.46560349231188758</v>
      </c>
      <c r="AG24" s="22">
        <f>ROUND(AG$21*$E$52*$E$54,0)</f>
        <v>4736</v>
      </c>
      <c r="AH24" s="23">
        <f>$E$54</f>
        <v>0.46560349231188758</v>
      </c>
      <c r="AI24" s="22">
        <f>ROUND(AI$21*$E$52*$E$54,0)</f>
        <v>5032</v>
      </c>
      <c r="AJ24" s="23">
        <f>$E$54</f>
        <v>0.46560349231188758</v>
      </c>
      <c r="AK24" s="22">
        <f>ROUND(AK$21*$E$52*$E$54,0)</f>
        <v>5328</v>
      </c>
      <c r="AL24" s="23">
        <f>$E$54</f>
        <v>0.46560349231188758</v>
      </c>
      <c r="AM24" s="22">
        <f>ROUND(AM$21*$E$52*$E$54,0)</f>
        <v>5624</v>
      </c>
      <c r="AN24" s="23">
        <f>$E$54</f>
        <v>0.46560349231188758</v>
      </c>
      <c r="AO24" s="22">
        <f>ROUND(AO$21*$E$52*$E$54,0)</f>
        <v>5920</v>
      </c>
      <c r="AP24" s="23">
        <f>$E$54</f>
        <v>0.46560349231188758</v>
      </c>
      <c r="AQ24" s="22">
        <f>ROUND(AQ$21*$E$52*$E$54,0)</f>
        <v>6216</v>
      </c>
      <c r="AR24" s="23">
        <f>$E$54</f>
        <v>0.46560349231188758</v>
      </c>
      <c r="AS24" s="22">
        <f>ROUND(AS$21*$E$52*$E$54,0)</f>
        <v>6512</v>
      </c>
      <c r="AT24" s="23">
        <f>$E$54</f>
        <v>0.46560349231188758</v>
      </c>
      <c r="AU24" s="22">
        <f>ROUND(AU$21*$E$52*$E$54,0)</f>
        <v>6808</v>
      </c>
      <c r="AV24" s="23">
        <f>$E$54</f>
        <v>0.46560349231188758</v>
      </c>
      <c r="AW24" s="22">
        <f>ROUND(AW$21*$E$52*$E$54,0)</f>
        <v>7104</v>
      </c>
      <c r="AX24" s="23">
        <f>$E$54</f>
        <v>0.46560349231188758</v>
      </c>
      <c r="AY24" s="22">
        <f>ROUND(AY$21*$E$52*$E$54,0)</f>
        <v>7400</v>
      </c>
      <c r="AZ24" s="23">
        <f>$E$54</f>
        <v>0.46560349231188758</v>
      </c>
      <c r="BA24" s="22">
        <f>ROUND(BA$21*$E$52*$E$54,0)</f>
        <v>7696</v>
      </c>
      <c r="BB24" s="23">
        <f>$E$54</f>
        <v>0.46560349231188758</v>
      </c>
      <c r="BC24" s="22">
        <f>ROUND(BC$21*$E$52*$E$54,0)</f>
        <v>7992</v>
      </c>
      <c r="BD24" s="23">
        <f>$E$54</f>
        <v>0.46560349231188758</v>
      </c>
      <c r="BE24" s="22">
        <f>ROUND(BE$21*$E$52*$E$54,0)</f>
        <v>8288</v>
      </c>
      <c r="BF24" s="23">
        <f>$E$54</f>
        <v>0.46560349231188758</v>
      </c>
      <c r="BG24" s="22">
        <f>ROUND(BG$21*$E$52*$E$54,0)</f>
        <v>8584</v>
      </c>
      <c r="BH24" s="23">
        <f>$E$54</f>
        <v>0.46560349231188758</v>
      </c>
      <c r="BI24" s="22">
        <f>ROUND(BI$21*$E$52*$E$54,0)</f>
        <v>8880</v>
      </c>
      <c r="BJ24" s="23">
        <f>$E$54</f>
        <v>0.46560349231188758</v>
      </c>
    </row>
    <row r="25" spans="1:62">
      <c r="B25" s="21" t="s">
        <v>54</v>
      </c>
      <c r="C25" s="22">
        <f>ROUND(C$21*$E$52*$E$55,0)</f>
        <v>321</v>
      </c>
      <c r="D25" s="23">
        <f>$E$55</f>
        <v>0.5043179508951745</v>
      </c>
      <c r="E25" s="22">
        <f>ROUND(E$21*$E$52*$E$55,0)</f>
        <v>641</v>
      </c>
      <c r="F25" s="23">
        <f>$E$55</f>
        <v>0.5043179508951745</v>
      </c>
      <c r="G25" s="22">
        <f>ROUND(G$21*$E$52*$E$55,0)</f>
        <v>962</v>
      </c>
      <c r="H25" s="23">
        <f>$E$55</f>
        <v>0.5043179508951745</v>
      </c>
      <c r="I25" s="22">
        <f>ROUND(I$21*$E$52*$E$55,0)</f>
        <v>1282</v>
      </c>
      <c r="J25" s="23">
        <f>$E$55</f>
        <v>0.5043179508951745</v>
      </c>
      <c r="K25" s="22">
        <f>ROUND(K$21*$E$52*$E$55,0)</f>
        <v>1603</v>
      </c>
      <c r="L25" s="23">
        <f>$E$55</f>
        <v>0.5043179508951745</v>
      </c>
      <c r="M25" s="22">
        <f>ROUND(M$21*$E$52*$E$55,0)</f>
        <v>1924</v>
      </c>
      <c r="N25" s="23">
        <f>$E$55</f>
        <v>0.5043179508951745</v>
      </c>
      <c r="O25" s="22">
        <f>ROUND(O$21*$E$52*$E$55,0)</f>
        <v>2244</v>
      </c>
      <c r="P25" s="23">
        <f>$E$55</f>
        <v>0.5043179508951745</v>
      </c>
      <c r="Q25" s="22">
        <f>ROUND(Q$21*$E$52*$E$55,0)</f>
        <v>2565</v>
      </c>
      <c r="R25" s="23">
        <f>$E$55</f>
        <v>0.5043179508951745</v>
      </c>
      <c r="S25" s="22">
        <f>ROUND(S$21*$E$52*$E$55,0)</f>
        <v>2885</v>
      </c>
      <c r="T25" s="23">
        <f>$E$55</f>
        <v>0.5043179508951745</v>
      </c>
      <c r="U25" s="22">
        <f>ROUND(U$21*$E$52*$E$55,0)</f>
        <v>3206</v>
      </c>
      <c r="V25" s="23">
        <f>$E$55</f>
        <v>0.5043179508951745</v>
      </c>
      <c r="W25" s="22">
        <f>ROUND(W$21*$E$52*$E$55,0)</f>
        <v>3527</v>
      </c>
      <c r="X25" s="23">
        <f>$E$55</f>
        <v>0.5043179508951745</v>
      </c>
      <c r="Y25" s="22">
        <f>ROUND(Y$21*$E$52*$E$55,0)</f>
        <v>3847</v>
      </c>
      <c r="Z25" s="23">
        <f>$E$55</f>
        <v>0.5043179508951745</v>
      </c>
      <c r="AA25" s="22">
        <f>ROUND(AA$21*$E$52*$E$55,0)</f>
        <v>4168</v>
      </c>
      <c r="AB25" s="23">
        <f>$E$55</f>
        <v>0.5043179508951745</v>
      </c>
      <c r="AC25" s="22">
        <f>ROUND(AC$21*$E$52*$E$55,0)</f>
        <v>4488</v>
      </c>
      <c r="AD25" s="23">
        <f>$E$55</f>
        <v>0.5043179508951745</v>
      </c>
      <c r="AE25" s="22">
        <f>ROUND(AE$21*$E$52*$E$55,0)</f>
        <v>4809</v>
      </c>
      <c r="AF25" s="23">
        <f>$E$55</f>
        <v>0.5043179508951745</v>
      </c>
      <c r="AG25" s="22">
        <f>ROUND(AG$21*$E$52*$E$55,0)</f>
        <v>5130</v>
      </c>
      <c r="AH25" s="23">
        <f>$E$55</f>
        <v>0.5043179508951745</v>
      </c>
      <c r="AI25" s="22">
        <f>ROUND(AI$21*$E$52*$E$55,0)</f>
        <v>5450</v>
      </c>
      <c r="AJ25" s="23">
        <f>$E$55</f>
        <v>0.5043179508951745</v>
      </c>
      <c r="AK25" s="22">
        <f>ROUND(AK$21*$E$52*$E$55,0)</f>
        <v>5771</v>
      </c>
      <c r="AL25" s="23">
        <f>$E$55</f>
        <v>0.5043179508951745</v>
      </c>
      <c r="AM25" s="22">
        <f>ROUND(AM$21*$E$52*$E$55,0)</f>
        <v>6091</v>
      </c>
      <c r="AN25" s="23">
        <f>$E$55</f>
        <v>0.5043179508951745</v>
      </c>
      <c r="AO25" s="22">
        <f>ROUND(AO$21*$E$52*$E$55,0)</f>
        <v>6412</v>
      </c>
      <c r="AP25" s="23">
        <f>$E$55</f>
        <v>0.5043179508951745</v>
      </c>
      <c r="AQ25" s="22">
        <f>ROUND(AQ$21*$E$52*$E$55,0)</f>
        <v>6733</v>
      </c>
      <c r="AR25" s="23">
        <f>$E$55</f>
        <v>0.5043179508951745</v>
      </c>
      <c r="AS25" s="22">
        <f>ROUND(AS$21*$E$52*$E$55,0)</f>
        <v>7053</v>
      </c>
      <c r="AT25" s="23">
        <f>$E$55</f>
        <v>0.5043179508951745</v>
      </c>
      <c r="AU25" s="22">
        <f>ROUND(AU$21*$E$52*$E$55,0)</f>
        <v>7374</v>
      </c>
      <c r="AV25" s="23">
        <f>$E$55</f>
        <v>0.5043179508951745</v>
      </c>
      <c r="AW25" s="22">
        <f>ROUND(AW$21*$E$52*$E$55,0)</f>
        <v>7694</v>
      </c>
      <c r="AX25" s="23">
        <f>$E$55</f>
        <v>0.5043179508951745</v>
      </c>
      <c r="AY25" s="22">
        <f>ROUND(AY$21*$E$52*$E$55,0)</f>
        <v>8015</v>
      </c>
      <c r="AZ25" s="23">
        <f>$E$55</f>
        <v>0.5043179508951745</v>
      </c>
      <c r="BA25" s="22">
        <f>ROUND(BA$21*$E$52*$E$55,0)</f>
        <v>8336</v>
      </c>
      <c r="BB25" s="23">
        <f>$E$55</f>
        <v>0.5043179508951745</v>
      </c>
      <c r="BC25" s="22">
        <f>ROUND(BC$21*$E$52*$E$55,0)</f>
        <v>8656</v>
      </c>
      <c r="BD25" s="23">
        <f>$E$55</f>
        <v>0.5043179508951745</v>
      </c>
      <c r="BE25" s="22">
        <f>ROUND(BE$21*$E$52*$E$55,0)</f>
        <v>8977</v>
      </c>
      <c r="BF25" s="23">
        <f>$E$55</f>
        <v>0.5043179508951745</v>
      </c>
      <c r="BG25" s="22">
        <f>ROUND(BG$21*$E$52*$E$55,0)</f>
        <v>9297</v>
      </c>
      <c r="BH25" s="23">
        <f>$E$55</f>
        <v>0.5043179508951745</v>
      </c>
      <c r="BI25" s="22">
        <f>ROUND(BI$21*$E$52*$E$55,0)</f>
        <v>9618</v>
      </c>
      <c r="BJ25" s="23">
        <f>$E$55</f>
        <v>0.5043179508951745</v>
      </c>
    </row>
    <row r="26" spans="1:62">
      <c r="B26" s="21" t="s">
        <v>55</v>
      </c>
      <c r="C26" s="22">
        <f>ROUND(C$21*$E$52*$E$56,0)</f>
        <v>442</v>
      </c>
      <c r="D26" s="23">
        <f>$E$56</f>
        <v>0.69602216360136104</v>
      </c>
      <c r="E26" s="22">
        <f>ROUND(E$21*$E$52*$E$56,0)</f>
        <v>885</v>
      </c>
      <c r="F26" s="23">
        <f>$E$56</f>
        <v>0.69602216360136104</v>
      </c>
      <c r="G26" s="22">
        <f>ROUND(G$21*$E$52*$E$56,0)</f>
        <v>1327</v>
      </c>
      <c r="H26" s="23">
        <f>$E$56</f>
        <v>0.69602216360136104</v>
      </c>
      <c r="I26" s="22">
        <f>ROUND(I$21*$E$52*$E$56,0)</f>
        <v>1770</v>
      </c>
      <c r="J26" s="23">
        <f>$E$56</f>
        <v>0.69602216360136104</v>
      </c>
      <c r="K26" s="22">
        <f>ROUND(K$21*$E$52*$E$56,0)</f>
        <v>2212</v>
      </c>
      <c r="L26" s="23">
        <f>$E$56</f>
        <v>0.69602216360136104</v>
      </c>
      <c r="M26" s="22">
        <f>ROUND(M$21*$E$52*$E$56,0)</f>
        <v>2655</v>
      </c>
      <c r="N26" s="23">
        <f>$E$56</f>
        <v>0.69602216360136104</v>
      </c>
      <c r="O26" s="22">
        <f>ROUND(O$21*$E$52*$E$56,0)</f>
        <v>3097</v>
      </c>
      <c r="P26" s="23">
        <f>$E$56</f>
        <v>0.69602216360136104</v>
      </c>
      <c r="Q26" s="22">
        <f>ROUND(Q$21*$E$52*$E$56,0)</f>
        <v>3540</v>
      </c>
      <c r="R26" s="23">
        <f>$E$56</f>
        <v>0.69602216360136104</v>
      </c>
      <c r="S26" s="22">
        <f>ROUND(S$21*$E$52*$E$56,0)</f>
        <v>3982</v>
      </c>
      <c r="T26" s="23">
        <f>$E$56</f>
        <v>0.69602216360136104</v>
      </c>
      <c r="U26" s="22">
        <f>ROUND(U$21*$E$52*$E$56,0)</f>
        <v>4425</v>
      </c>
      <c r="V26" s="23">
        <f>$E$56</f>
        <v>0.69602216360136104</v>
      </c>
      <c r="W26" s="22">
        <f>ROUND(W$21*$E$52*$E$56,0)</f>
        <v>4867</v>
      </c>
      <c r="X26" s="23">
        <f>$E$56</f>
        <v>0.69602216360136104</v>
      </c>
      <c r="Y26" s="22">
        <f>ROUND(Y$21*$E$52*$E$56,0)</f>
        <v>5310</v>
      </c>
      <c r="Z26" s="23">
        <f>$E$56</f>
        <v>0.69602216360136104</v>
      </c>
      <c r="AA26" s="22">
        <f>ROUND(AA$21*$E$52*$E$56,0)</f>
        <v>5752</v>
      </c>
      <c r="AB26" s="23">
        <f>$E$56</f>
        <v>0.69602216360136104</v>
      </c>
      <c r="AC26" s="22">
        <f>ROUND(AC$21*$E$52*$E$56,0)</f>
        <v>6195</v>
      </c>
      <c r="AD26" s="23">
        <f>$E$56</f>
        <v>0.69602216360136104</v>
      </c>
      <c r="AE26" s="22">
        <f>ROUND(AE$21*$E$52*$E$56,0)</f>
        <v>6637</v>
      </c>
      <c r="AF26" s="23">
        <f>$E$56</f>
        <v>0.69602216360136104</v>
      </c>
      <c r="AG26" s="22">
        <f>ROUND(AG$21*$E$52*$E$56,0)</f>
        <v>7079</v>
      </c>
      <c r="AH26" s="23">
        <f>$E$56</f>
        <v>0.69602216360136104</v>
      </c>
      <c r="AI26" s="22">
        <f>ROUND(AI$21*$E$52*$E$56,0)</f>
        <v>7522</v>
      </c>
      <c r="AJ26" s="23">
        <f>$E$56</f>
        <v>0.69602216360136104</v>
      </c>
      <c r="AK26" s="22">
        <f>ROUND(AK$21*$E$52*$E$56,0)</f>
        <v>7964</v>
      </c>
      <c r="AL26" s="23">
        <f>$E$56</f>
        <v>0.69602216360136104</v>
      </c>
      <c r="AM26" s="22">
        <f>ROUND(AM$21*$E$52*$E$56,0)</f>
        <v>8407</v>
      </c>
      <c r="AN26" s="23">
        <f>$E$56</f>
        <v>0.69602216360136104</v>
      </c>
      <c r="AO26" s="22">
        <f>ROUND(AO$21*$E$52*$E$56,0)</f>
        <v>8849</v>
      </c>
      <c r="AP26" s="23">
        <f>$E$56</f>
        <v>0.69602216360136104</v>
      </c>
      <c r="AQ26" s="22">
        <f>ROUND(AQ$21*$E$52*$E$56,0)</f>
        <v>9292</v>
      </c>
      <c r="AR26" s="23">
        <f>$E$56</f>
        <v>0.69602216360136104</v>
      </c>
      <c r="AS26" s="22">
        <f>ROUND(AS$21*$E$52*$E$56,0)</f>
        <v>9734</v>
      </c>
      <c r="AT26" s="23">
        <f>$E$56</f>
        <v>0.69602216360136104</v>
      </c>
      <c r="AU26" s="22">
        <f>ROUND(AU$21*$E$52*$E$56,0)</f>
        <v>10177</v>
      </c>
      <c r="AV26" s="23">
        <f>$E$56</f>
        <v>0.69602216360136104</v>
      </c>
      <c r="AW26" s="22">
        <f>ROUND(AW$21*$E$52*$E$56,0)</f>
        <v>10619</v>
      </c>
      <c r="AX26" s="23">
        <f>$E$56</f>
        <v>0.69602216360136104</v>
      </c>
      <c r="AY26" s="22">
        <f>ROUND(AY$21*$E$52*$E$56,0)</f>
        <v>11062</v>
      </c>
      <c r="AZ26" s="23">
        <f>$E$56</f>
        <v>0.69602216360136104</v>
      </c>
      <c r="BA26" s="22">
        <f>ROUND(BA$21*$E$52*$E$56,0)</f>
        <v>11504</v>
      </c>
      <c r="BB26" s="23">
        <f>$E$56</f>
        <v>0.69602216360136104</v>
      </c>
      <c r="BC26" s="22">
        <f>ROUND(BC$21*$E$52*$E$56,0)</f>
        <v>11947</v>
      </c>
      <c r="BD26" s="23">
        <f>$E$56</f>
        <v>0.69602216360136104</v>
      </c>
      <c r="BE26" s="22">
        <f>ROUND(BE$21*$E$52*$E$56,0)</f>
        <v>12389</v>
      </c>
      <c r="BF26" s="23">
        <f>$E$56</f>
        <v>0.69602216360136104</v>
      </c>
      <c r="BG26" s="22">
        <f>ROUND(BG$21*$E$52*$E$56,0)</f>
        <v>12832</v>
      </c>
      <c r="BH26" s="23">
        <f>$E$56</f>
        <v>0.69602216360136104</v>
      </c>
      <c r="BI26" s="22">
        <f>ROUND(BI$21*$E$52*$E$56,0)</f>
        <v>13274</v>
      </c>
      <c r="BJ26" s="23">
        <f>$E$56</f>
        <v>0.69602216360136104</v>
      </c>
    </row>
    <row r="27" spans="1:62">
      <c r="B27" s="24" t="s">
        <v>56</v>
      </c>
      <c r="C27" s="22">
        <f>ROUND(C$21*$E$52*$E$57,0)</f>
        <v>513</v>
      </c>
      <c r="D27" s="23">
        <f>$E$57</f>
        <v>0.80689156782736871</v>
      </c>
      <c r="E27" s="22">
        <f>ROUND(E$21*$E$52*$E$57,0)</f>
        <v>1026</v>
      </c>
      <c r="F27" s="23">
        <f>$E$57</f>
        <v>0.80689156782736871</v>
      </c>
      <c r="G27" s="22">
        <f>ROUND(G$21*$E$52*$E$57,0)</f>
        <v>1539</v>
      </c>
      <c r="H27" s="23">
        <f>$E$57</f>
        <v>0.80689156782736871</v>
      </c>
      <c r="I27" s="22">
        <f>ROUND(I$21*$E$52*$E$57,0)</f>
        <v>2052</v>
      </c>
      <c r="J27" s="23">
        <f>$E$57</f>
        <v>0.80689156782736871</v>
      </c>
      <c r="K27" s="22">
        <f>ROUND(K$21*$E$52*$E$57,0)</f>
        <v>2565</v>
      </c>
      <c r="L27" s="23">
        <f>$E$57</f>
        <v>0.80689156782736871</v>
      </c>
      <c r="M27" s="22">
        <f>ROUND(M$21*$E$52*$E$57,0)</f>
        <v>3078</v>
      </c>
      <c r="N27" s="23">
        <f>$E$57</f>
        <v>0.80689156782736871</v>
      </c>
      <c r="O27" s="22">
        <f>ROUND(O$21*$E$52*$E$57,0)</f>
        <v>3591</v>
      </c>
      <c r="P27" s="23">
        <f>$E$57</f>
        <v>0.80689156782736871</v>
      </c>
      <c r="Q27" s="22">
        <f>ROUND(Q$21*$E$52*$E$57,0)</f>
        <v>4104</v>
      </c>
      <c r="R27" s="23">
        <f>$E$57</f>
        <v>0.80689156782736871</v>
      </c>
      <c r="S27" s="22">
        <f>ROUND(S$21*$E$52*$E$57,0)</f>
        <v>4617</v>
      </c>
      <c r="T27" s="23">
        <f>$E$57</f>
        <v>0.80689156782736871</v>
      </c>
      <c r="U27" s="22">
        <f>ROUND(U$21*$E$52*$E$57,0)</f>
        <v>5129</v>
      </c>
      <c r="V27" s="23">
        <f>$E$57</f>
        <v>0.80689156782736871</v>
      </c>
      <c r="W27" s="22">
        <f>ROUND(W$21*$E$52*$E$57,0)</f>
        <v>5642</v>
      </c>
      <c r="X27" s="23">
        <f>$E$57</f>
        <v>0.80689156782736871</v>
      </c>
      <c r="Y27" s="22">
        <f>ROUND(Y$21*$E$52*$E$57,0)</f>
        <v>6155</v>
      </c>
      <c r="Z27" s="23">
        <f>$E$57</f>
        <v>0.80689156782736871</v>
      </c>
      <c r="AA27" s="22">
        <f>ROUND(AA$21*$E$52*$E$57,0)</f>
        <v>6668</v>
      </c>
      <c r="AB27" s="23">
        <f>$E$57</f>
        <v>0.80689156782736871</v>
      </c>
      <c r="AC27" s="22">
        <f>ROUND(AC$21*$E$52*$E$57,0)</f>
        <v>7181</v>
      </c>
      <c r="AD27" s="23">
        <f>$E$57</f>
        <v>0.80689156782736871</v>
      </c>
      <c r="AE27" s="22">
        <f>ROUND(AE$21*$E$52*$E$57,0)</f>
        <v>7694</v>
      </c>
      <c r="AF27" s="23">
        <f>$E$57</f>
        <v>0.80689156782736871</v>
      </c>
      <c r="AG27" s="22">
        <f>ROUND(AG$21*$E$52*$E$57,0)</f>
        <v>8207</v>
      </c>
      <c r="AH27" s="23">
        <f>$E$57</f>
        <v>0.80689156782736871</v>
      </c>
      <c r="AI27" s="22">
        <f>ROUND(AI$21*$E$52*$E$57,0)</f>
        <v>8720</v>
      </c>
      <c r="AJ27" s="23">
        <f>$E$57</f>
        <v>0.80689156782736871</v>
      </c>
      <c r="AK27" s="22">
        <f>ROUND(AK$21*$E$52*$E$57,0)</f>
        <v>9233</v>
      </c>
      <c r="AL27" s="23">
        <f>$E$57</f>
        <v>0.80689156782736871</v>
      </c>
      <c r="AM27" s="22">
        <f>ROUND(AM$21*$E$52*$E$57,0)</f>
        <v>9746</v>
      </c>
      <c r="AN27" s="23">
        <f>$E$57</f>
        <v>0.80689156782736871</v>
      </c>
      <c r="AO27" s="22">
        <f>ROUND(AO$21*$E$52*$E$57,0)</f>
        <v>10259</v>
      </c>
      <c r="AP27" s="23">
        <f>$E$57</f>
        <v>0.80689156782736871</v>
      </c>
      <c r="AQ27" s="22">
        <f>ROUND(AQ$21*$E$52*$E$57,0)</f>
        <v>10772</v>
      </c>
      <c r="AR27" s="23">
        <f>$E$57</f>
        <v>0.80689156782736871</v>
      </c>
      <c r="AS27" s="22">
        <f>ROUND(AS$21*$E$52*$E$57,0)</f>
        <v>11285</v>
      </c>
      <c r="AT27" s="23">
        <f>$E$57</f>
        <v>0.80689156782736871</v>
      </c>
      <c r="AU27" s="22">
        <f>ROUND(AU$21*$E$52*$E$57,0)</f>
        <v>11798</v>
      </c>
      <c r="AV27" s="23">
        <f>$E$57</f>
        <v>0.80689156782736871</v>
      </c>
      <c r="AW27" s="22">
        <f>ROUND(AW$21*$E$52*$E$57,0)</f>
        <v>12311</v>
      </c>
      <c r="AX27" s="23">
        <f>$E$57</f>
        <v>0.80689156782736871</v>
      </c>
      <c r="AY27" s="22">
        <f>ROUND(AY$21*$E$52*$E$57,0)</f>
        <v>12824</v>
      </c>
      <c r="AZ27" s="23">
        <f>$E$57</f>
        <v>0.80689156782736871</v>
      </c>
      <c r="BA27" s="22">
        <f>ROUND(BA$21*$E$52*$E$57,0)</f>
        <v>13337</v>
      </c>
      <c r="BB27" s="23">
        <f>$E$57</f>
        <v>0.80689156782736871</v>
      </c>
      <c r="BC27" s="22">
        <f>ROUND(BC$21*$E$52*$E$57,0)</f>
        <v>13850</v>
      </c>
      <c r="BD27" s="23">
        <f>$E$57</f>
        <v>0.80689156782736871</v>
      </c>
      <c r="BE27" s="22">
        <f>ROUND(BE$21*$E$52*$E$57,0)</f>
        <v>14363</v>
      </c>
      <c r="BF27" s="23">
        <f>$E$57</f>
        <v>0.80689156782736871</v>
      </c>
      <c r="BG27" s="22">
        <f>ROUND(BG$21*$E$52*$E$57,0)</f>
        <v>14876</v>
      </c>
      <c r="BH27" s="23">
        <f>$E$57</f>
        <v>0.80689156782736871</v>
      </c>
      <c r="BI27" s="22">
        <f>ROUND(BI$21*$E$52*$E$57,0)</f>
        <v>15388</v>
      </c>
      <c r="BJ27" s="23">
        <f>$E$57</f>
        <v>0.80689156782736871</v>
      </c>
    </row>
    <row r="28" spans="1:62" ht="21" customHeight="1">
      <c r="B28" s="21" t="s">
        <v>57</v>
      </c>
      <c r="C28" s="22">
        <f>ROUND(C$21*$E$52*$E$58,0)</f>
        <v>636</v>
      </c>
      <c r="D28" s="23">
        <f>$E$58</f>
        <v>1</v>
      </c>
      <c r="E28" s="22">
        <f>ROUND(E$21*$E$52*$E$58,0)</f>
        <v>1271</v>
      </c>
      <c r="F28" s="23">
        <f>$E$58</f>
        <v>1</v>
      </c>
      <c r="G28" s="22">
        <f>ROUND(G$21*$E$52*$E$58,0)</f>
        <v>1907</v>
      </c>
      <c r="H28" s="23">
        <f>$E$58</f>
        <v>1</v>
      </c>
      <c r="I28" s="22">
        <f>ROUND(I$21*$E$52*$E$58,0)</f>
        <v>2543</v>
      </c>
      <c r="J28" s="23">
        <f>$E$58</f>
        <v>1</v>
      </c>
      <c r="K28" s="22">
        <f>ROUND(K$21*$E$52*$E$58,0)</f>
        <v>3179</v>
      </c>
      <c r="L28" s="23">
        <f>$E$58</f>
        <v>1</v>
      </c>
      <c r="M28" s="22">
        <f>ROUND(M$21*$E$52*$E$58,0)</f>
        <v>3814</v>
      </c>
      <c r="N28" s="23">
        <f>$E$58</f>
        <v>1</v>
      </c>
      <c r="O28" s="22">
        <f>ROUND(O$21*$E$52*$E$58,0)</f>
        <v>4450</v>
      </c>
      <c r="P28" s="23">
        <f>$E$58</f>
        <v>1</v>
      </c>
      <c r="Q28" s="22">
        <f>ROUND(Q$21*$E$52*$E$58,0)</f>
        <v>5086</v>
      </c>
      <c r="R28" s="23">
        <f>$E$58</f>
        <v>1</v>
      </c>
      <c r="S28" s="22">
        <f>ROUND(S$21*$E$52*$E$58,0)</f>
        <v>5721</v>
      </c>
      <c r="T28" s="23">
        <f>$E$58</f>
        <v>1</v>
      </c>
      <c r="U28" s="22">
        <f>ROUND(U$21*$E$52*$E$58,0)</f>
        <v>6357</v>
      </c>
      <c r="V28" s="23">
        <f>$E$58</f>
        <v>1</v>
      </c>
      <c r="W28" s="22">
        <f>ROUND(W$21*$E$52*$E$58,0)</f>
        <v>6993</v>
      </c>
      <c r="X28" s="23">
        <f>$E$58</f>
        <v>1</v>
      </c>
      <c r="Y28" s="22">
        <f>ROUND(Y$21*$E$52*$E$58,0)</f>
        <v>7629</v>
      </c>
      <c r="Z28" s="23">
        <f>$E$58</f>
        <v>1</v>
      </c>
      <c r="AA28" s="22">
        <f>ROUND(AA$21*$E$52*$E$58,0)</f>
        <v>8264</v>
      </c>
      <c r="AB28" s="23">
        <f>$E$58</f>
        <v>1</v>
      </c>
      <c r="AC28" s="22">
        <f>ROUND(AC$21*$E$52*$E$58,0)</f>
        <v>8900</v>
      </c>
      <c r="AD28" s="23">
        <f>$E$58</f>
        <v>1</v>
      </c>
      <c r="AE28" s="22">
        <f>ROUND(AE$21*$E$52*$E$58,0)</f>
        <v>9536</v>
      </c>
      <c r="AF28" s="23">
        <f>$E$58</f>
        <v>1</v>
      </c>
      <c r="AG28" s="22">
        <f>ROUND(AG$21*$E$52*$E$58,0)</f>
        <v>10171</v>
      </c>
      <c r="AH28" s="23">
        <f>$E$58</f>
        <v>1</v>
      </c>
      <c r="AI28" s="22">
        <f>ROUND(AI$21*$E$52*$E$58,0)</f>
        <v>10807</v>
      </c>
      <c r="AJ28" s="23">
        <f>$E$58</f>
        <v>1</v>
      </c>
      <c r="AK28" s="22">
        <f>ROUND(AK$21*$E$52*$E$58,0)</f>
        <v>11443</v>
      </c>
      <c r="AL28" s="23">
        <f>$E$58</f>
        <v>1</v>
      </c>
      <c r="AM28" s="22">
        <f>ROUND(AM$21*$E$52*$E$58,0)</f>
        <v>12078</v>
      </c>
      <c r="AN28" s="23">
        <f>$E$58</f>
        <v>1</v>
      </c>
      <c r="AO28" s="22">
        <f>ROUND(AO$21*$E$52*$E$58,0)</f>
        <v>12714</v>
      </c>
      <c r="AP28" s="23">
        <f>$E$58</f>
        <v>1</v>
      </c>
      <c r="AQ28" s="22">
        <f>ROUND(AQ$21*$E$52*$E$58,0)</f>
        <v>13350</v>
      </c>
      <c r="AR28" s="23">
        <f>$E$58</f>
        <v>1</v>
      </c>
      <c r="AS28" s="22">
        <f>ROUND(AS$21*$E$52*$E$58,0)</f>
        <v>13986</v>
      </c>
      <c r="AT28" s="23">
        <f>$E$58</f>
        <v>1</v>
      </c>
      <c r="AU28" s="22">
        <f>ROUND(AU$21*$E$52*$E$58,0)</f>
        <v>14621</v>
      </c>
      <c r="AV28" s="23">
        <f>$E$58</f>
        <v>1</v>
      </c>
      <c r="AW28" s="22">
        <f>ROUND(AW$21*$E$52*$E$58,0)</f>
        <v>15257</v>
      </c>
      <c r="AX28" s="23">
        <f>$E$58</f>
        <v>1</v>
      </c>
      <c r="AY28" s="22">
        <f>ROUND(AY$21*$E$52*$E$58,0)</f>
        <v>15893</v>
      </c>
      <c r="AZ28" s="23">
        <f>$E$58</f>
        <v>1</v>
      </c>
      <c r="BA28" s="22">
        <f>ROUND(BA$21*$E$52*$E$58,0)</f>
        <v>16528</v>
      </c>
      <c r="BB28" s="23">
        <f>$E$58</f>
        <v>1</v>
      </c>
      <c r="BC28" s="22">
        <f>ROUND(BC$21*$E$52*$E$58,0)</f>
        <v>17164</v>
      </c>
      <c r="BD28" s="23">
        <f>$E$58</f>
        <v>1</v>
      </c>
      <c r="BE28" s="22">
        <f>ROUND(BE$21*$E$52*$E$58,0)</f>
        <v>17800</v>
      </c>
      <c r="BF28" s="23">
        <f>$E$58</f>
        <v>1</v>
      </c>
      <c r="BG28" s="22">
        <f>ROUND(BG$21*$E$52*$E$58,0)</f>
        <v>18436</v>
      </c>
      <c r="BH28" s="23">
        <f>$E$58</f>
        <v>1</v>
      </c>
      <c r="BI28" s="22">
        <f>ROUND(BI$21*$E$52*$E$58,0)</f>
        <v>19071</v>
      </c>
      <c r="BJ28" s="23">
        <f>$E$58</f>
        <v>1</v>
      </c>
    </row>
    <row r="29" spans="1:62">
      <c r="D29" s="25"/>
      <c r="F29" s="25"/>
      <c r="H29" s="25"/>
      <c r="J29" s="25"/>
      <c r="L29" s="25"/>
      <c r="N29" s="25"/>
      <c r="P29" s="25"/>
      <c r="R29" s="25"/>
      <c r="T29" s="25"/>
      <c r="V29" s="25"/>
      <c r="X29" s="25"/>
      <c r="Z29" s="25"/>
    </row>
    <row r="50" spans="2:32">
      <c r="B50" s="16" t="s">
        <v>58</v>
      </c>
    </row>
    <row r="51" spans="2:32" ht="32">
      <c r="B51" s="26" t="s">
        <v>59</v>
      </c>
      <c r="C51" s="26" t="s">
        <v>60</v>
      </c>
      <c r="D51" s="26" t="s">
        <v>61</v>
      </c>
      <c r="E51" s="27" t="s">
        <v>62</v>
      </c>
    </row>
    <row r="52" spans="2:32">
      <c r="B52" s="28" t="s">
        <v>63</v>
      </c>
      <c r="C52" s="29">
        <f>AVERAGE(C8/D1,E8/F1,G8/H1,I8/J1,K8/L1,M8/N1,O8/P1,Q8/R1)</f>
        <v>6.5108371237255538</v>
      </c>
      <c r="D52" s="29">
        <f>AVERAGE(C18/D11,E18/F11,G18/H11,I18/J11,K18/L11,M18/N11,O18/P11,Q18/R11)</f>
        <v>6.2033452410297905</v>
      </c>
      <c r="E52" s="29">
        <f t="shared" ref="E52:E58" si="0">(C52+D52)/2</f>
        <v>6.3570911823776726</v>
      </c>
    </row>
    <row r="53" spans="2:32">
      <c r="B53" s="30" t="s">
        <v>64</v>
      </c>
      <c r="C53" s="31">
        <f t="shared" ref="C53:C58" si="1">AVERAGE(D3,F3,H3,J3,L3,N3,P3,R3)</f>
        <v>0.40515876262349293</v>
      </c>
      <c r="D53" s="31">
        <f t="shared" ref="D53:D58" si="2">AVERAGE(D13,F13,H13,J13,L13,N13,P13,R13)</f>
        <v>0.396970434234933</v>
      </c>
      <c r="E53" s="31">
        <f t="shared" si="0"/>
        <v>0.40106459842921294</v>
      </c>
    </row>
    <row r="54" spans="2:32">
      <c r="B54" s="30" t="s">
        <v>65</v>
      </c>
      <c r="C54" s="31">
        <f t="shared" si="1"/>
        <v>0.46976338227816994</v>
      </c>
      <c r="D54" s="31">
        <f t="shared" si="2"/>
        <v>0.46144360234560522</v>
      </c>
      <c r="E54" s="31">
        <f t="shared" si="0"/>
        <v>0.46560349231188758</v>
      </c>
    </row>
    <row r="55" spans="2:32">
      <c r="B55" s="30" t="s">
        <v>66</v>
      </c>
      <c r="C55" s="31">
        <f t="shared" si="1"/>
        <v>0.51070325868512778</v>
      </c>
      <c r="D55" s="31">
        <f t="shared" si="2"/>
        <v>0.49793264310522134</v>
      </c>
      <c r="E55" s="31">
        <f t="shared" si="0"/>
        <v>0.5043179508951745</v>
      </c>
    </row>
    <row r="56" spans="2:32">
      <c r="B56" s="30" t="s">
        <v>67</v>
      </c>
      <c r="C56" s="31">
        <f t="shared" si="1"/>
        <v>0.6056477358191904</v>
      </c>
      <c r="D56" s="31">
        <f t="shared" si="2"/>
        <v>0.7863965913835318</v>
      </c>
      <c r="E56" s="31">
        <f t="shared" si="0"/>
        <v>0.69602216360136104</v>
      </c>
    </row>
    <row r="57" spans="2:32">
      <c r="B57" s="28" t="s">
        <v>68</v>
      </c>
      <c r="C57" s="31">
        <f t="shared" si="1"/>
        <v>0.74090453269292555</v>
      </c>
      <c r="D57" s="31">
        <f t="shared" si="2"/>
        <v>0.87287860296181186</v>
      </c>
      <c r="E57" s="31">
        <f t="shared" si="0"/>
        <v>0.80689156782736871</v>
      </c>
    </row>
    <row r="58" spans="2:32">
      <c r="B58" s="30" t="s">
        <v>69</v>
      </c>
      <c r="C58" s="31">
        <f t="shared" si="1"/>
        <v>1</v>
      </c>
      <c r="D58" s="31">
        <f t="shared" si="2"/>
        <v>1</v>
      </c>
      <c r="E58" s="31">
        <f t="shared" si="0"/>
        <v>1</v>
      </c>
    </row>
    <row r="62" spans="2:32">
      <c r="B62" s="32" t="s">
        <v>70</v>
      </c>
      <c r="C62" s="33">
        <v>100</v>
      </c>
      <c r="D62" s="33">
        <v>200</v>
      </c>
      <c r="E62" s="33">
        <v>300</v>
      </c>
      <c r="F62" s="33">
        <v>400</v>
      </c>
      <c r="G62" s="33">
        <v>500</v>
      </c>
      <c r="H62" s="33">
        <v>600</v>
      </c>
      <c r="I62" s="33">
        <v>700</v>
      </c>
      <c r="J62" s="33">
        <v>800</v>
      </c>
      <c r="K62" s="33">
        <v>900</v>
      </c>
      <c r="L62" s="33">
        <v>1000</v>
      </c>
      <c r="M62" s="33">
        <v>1100</v>
      </c>
      <c r="N62" s="33">
        <v>1200</v>
      </c>
      <c r="O62" s="33">
        <v>1300</v>
      </c>
      <c r="P62" s="33">
        <v>1400</v>
      </c>
      <c r="Q62" s="33">
        <v>1500</v>
      </c>
      <c r="R62" s="33">
        <v>1600</v>
      </c>
      <c r="S62" s="33">
        <v>1700</v>
      </c>
      <c r="T62" s="33">
        <v>1800</v>
      </c>
      <c r="U62" s="33">
        <v>1900</v>
      </c>
      <c r="V62" s="33">
        <v>2000</v>
      </c>
      <c r="W62" s="33">
        <v>2100</v>
      </c>
      <c r="X62" s="33">
        <v>2200</v>
      </c>
      <c r="Y62" s="33">
        <v>2300</v>
      </c>
      <c r="Z62" s="33">
        <v>2400</v>
      </c>
      <c r="AA62" s="33">
        <v>2500</v>
      </c>
      <c r="AB62" s="33">
        <v>2600</v>
      </c>
      <c r="AC62" s="33">
        <v>2700</v>
      </c>
      <c r="AD62" s="33">
        <v>2800</v>
      </c>
      <c r="AE62" s="33">
        <v>2900</v>
      </c>
      <c r="AF62" s="33">
        <v>3000</v>
      </c>
    </row>
    <row r="63" spans="2:32">
      <c r="B63" s="34" t="s">
        <v>71</v>
      </c>
      <c r="C63" s="35">
        <f t="shared" ref="C63:C68" si="3">C23</f>
        <v>255</v>
      </c>
      <c r="D63" s="35">
        <f t="shared" ref="D63:D68" si="4">E23</f>
        <v>510</v>
      </c>
      <c r="E63" s="35">
        <f t="shared" ref="E63:E68" si="5">G23</f>
        <v>765</v>
      </c>
      <c r="F63" s="35">
        <f t="shared" ref="F63:F68" si="6">I23</f>
        <v>1020</v>
      </c>
      <c r="G63" s="35">
        <f t="shared" ref="G63:G68" si="7">K23</f>
        <v>1275</v>
      </c>
      <c r="H63" s="35">
        <f t="shared" ref="H63:H68" si="8">M23</f>
        <v>1530</v>
      </c>
      <c r="I63" s="35">
        <f t="shared" ref="I63:I68" si="9">O23</f>
        <v>1785</v>
      </c>
      <c r="J63" s="35">
        <f t="shared" ref="J63:J68" si="10">Q23</f>
        <v>2040</v>
      </c>
      <c r="K63" s="35">
        <f t="shared" ref="K63:K68" si="11">S23</f>
        <v>2295</v>
      </c>
      <c r="L63" s="35">
        <f t="shared" ref="L63:L68" si="12">U23</f>
        <v>2550</v>
      </c>
      <c r="M63" s="35">
        <f t="shared" ref="M63:M68" si="13">W23</f>
        <v>2805</v>
      </c>
      <c r="N63" s="35">
        <f t="shared" ref="N63:N68" si="14">Y23</f>
        <v>3060</v>
      </c>
      <c r="O63" s="35">
        <f t="shared" ref="O63:O68" si="15">AA23</f>
        <v>3314</v>
      </c>
      <c r="P63" s="35">
        <f t="shared" ref="P63:P68" si="16">AC23</f>
        <v>3569</v>
      </c>
      <c r="Q63" s="35">
        <f t="shared" ref="Q63:Q68" si="17">AE23</f>
        <v>3824</v>
      </c>
      <c r="R63" s="35">
        <f t="shared" ref="R63:R68" si="18">AG23</f>
        <v>4079</v>
      </c>
      <c r="S63" s="35">
        <f t="shared" ref="S63:S68" si="19">AI23</f>
        <v>4334</v>
      </c>
      <c r="T63" s="35">
        <f t="shared" ref="T63:T68" si="20">AK23</f>
        <v>4589</v>
      </c>
      <c r="U63" s="35">
        <f t="shared" ref="U63:U68" si="21">AM23</f>
        <v>4844</v>
      </c>
      <c r="V63" s="35">
        <f t="shared" ref="V63:V68" si="22">AO23</f>
        <v>5099</v>
      </c>
      <c r="W63" s="35">
        <f t="shared" ref="W63:W68" si="23">AQ23</f>
        <v>5354</v>
      </c>
      <c r="X63" s="35">
        <f t="shared" ref="X63:X68" si="24">AS23</f>
        <v>5609</v>
      </c>
      <c r="Y63" s="35">
        <f t="shared" ref="Y63:Y68" si="25">AU23</f>
        <v>5864</v>
      </c>
      <c r="Z63" s="35">
        <f t="shared" ref="Z63:Z68" si="26">AW23</f>
        <v>6119</v>
      </c>
      <c r="AA63" s="35">
        <f t="shared" ref="AA63:AA68" si="27">AY23</f>
        <v>6374</v>
      </c>
      <c r="AB63" s="35">
        <f t="shared" ref="AB63:AB68" si="28">BA23</f>
        <v>6629</v>
      </c>
      <c r="AC63" s="35">
        <f t="shared" ref="AC63:AC68" si="29">BC23</f>
        <v>6884</v>
      </c>
      <c r="AD63" s="35">
        <f t="shared" ref="AD63:AD68" si="30">BE23</f>
        <v>7139</v>
      </c>
      <c r="AE63" s="35">
        <f t="shared" ref="AE63:AE68" si="31">BG23</f>
        <v>7394</v>
      </c>
      <c r="AF63" s="35">
        <f t="shared" ref="AF63:AF68" si="32">BI23</f>
        <v>7649</v>
      </c>
    </row>
    <row r="64" spans="2:32">
      <c r="B64" s="34" t="s">
        <v>72</v>
      </c>
      <c r="C64" s="35">
        <f t="shared" si="3"/>
        <v>296</v>
      </c>
      <c r="D64" s="35">
        <f t="shared" si="4"/>
        <v>592</v>
      </c>
      <c r="E64" s="35">
        <f t="shared" si="5"/>
        <v>888</v>
      </c>
      <c r="F64" s="35">
        <f t="shared" si="6"/>
        <v>1184</v>
      </c>
      <c r="G64" s="35">
        <f t="shared" si="7"/>
        <v>1480</v>
      </c>
      <c r="H64" s="35">
        <f t="shared" si="8"/>
        <v>1776</v>
      </c>
      <c r="I64" s="35">
        <f t="shared" si="9"/>
        <v>2072</v>
      </c>
      <c r="J64" s="35">
        <f t="shared" si="10"/>
        <v>2368</v>
      </c>
      <c r="K64" s="35">
        <f t="shared" si="11"/>
        <v>2664</v>
      </c>
      <c r="L64" s="35">
        <f t="shared" si="12"/>
        <v>2960</v>
      </c>
      <c r="M64" s="35">
        <f t="shared" si="13"/>
        <v>3256</v>
      </c>
      <c r="N64" s="35">
        <f t="shared" si="14"/>
        <v>3552</v>
      </c>
      <c r="O64" s="35">
        <f t="shared" si="15"/>
        <v>3848</v>
      </c>
      <c r="P64" s="35">
        <f t="shared" si="16"/>
        <v>4144</v>
      </c>
      <c r="Q64" s="35">
        <f t="shared" si="17"/>
        <v>4440</v>
      </c>
      <c r="R64" s="35">
        <f t="shared" si="18"/>
        <v>4736</v>
      </c>
      <c r="S64" s="35">
        <f t="shared" si="19"/>
        <v>5032</v>
      </c>
      <c r="T64" s="35">
        <f t="shared" si="20"/>
        <v>5328</v>
      </c>
      <c r="U64" s="35">
        <f t="shared" si="21"/>
        <v>5624</v>
      </c>
      <c r="V64" s="35">
        <f t="shared" si="22"/>
        <v>5920</v>
      </c>
      <c r="W64" s="35">
        <f t="shared" si="23"/>
        <v>6216</v>
      </c>
      <c r="X64" s="35">
        <f t="shared" si="24"/>
        <v>6512</v>
      </c>
      <c r="Y64" s="35">
        <f t="shared" si="25"/>
        <v>6808</v>
      </c>
      <c r="Z64" s="35">
        <f t="shared" si="26"/>
        <v>7104</v>
      </c>
      <c r="AA64" s="35">
        <f t="shared" si="27"/>
        <v>7400</v>
      </c>
      <c r="AB64" s="35">
        <f t="shared" si="28"/>
        <v>7696</v>
      </c>
      <c r="AC64" s="35">
        <f t="shared" si="29"/>
        <v>7992</v>
      </c>
      <c r="AD64" s="35">
        <f t="shared" si="30"/>
        <v>8288</v>
      </c>
      <c r="AE64" s="35">
        <f t="shared" si="31"/>
        <v>8584</v>
      </c>
      <c r="AF64" s="35">
        <f t="shared" si="32"/>
        <v>8880</v>
      </c>
    </row>
    <row r="65" spans="2:32">
      <c r="B65" s="34" t="s">
        <v>73</v>
      </c>
      <c r="C65" s="35">
        <f t="shared" si="3"/>
        <v>321</v>
      </c>
      <c r="D65" s="35">
        <f t="shared" si="4"/>
        <v>641</v>
      </c>
      <c r="E65" s="35">
        <f t="shared" si="5"/>
        <v>962</v>
      </c>
      <c r="F65" s="35">
        <f t="shared" si="6"/>
        <v>1282</v>
      </c>
      <c r="G65" s="35">
        <f t="shared" si="7"/>
        <v>1603</v>
      </c>
      <c r="H65" s="35">
        <f t="shared" si="8"/>
        <v>1924</v>
      </c>
      <c r="I65" s="35">
        <f t="shared" si="9"/>
        <v>2244</v>
      </c>
      <c r="J65" s="35">
        <f t="shared" si="10"/>
        <v>2565</v>
      </c>
      <c r="K65" s="35">
        <f t="shared" si="11"/>
        <v>2885</v>
      </c>
      <c r="L65" s="35">
        <f t="shared" si="12"/>
        <v>3206</v>
      </c>
      <c r="M65" s="35">
        <f t="shared" si="13"/>
        <v>3527</v>
      </c>
      <c r="N65" s="35">
        <f t="shared" si="14"/>
        <v>3847</v>
      </c>
      <c r="O65" s="35">
        <f t="shared" si="15"/>
        <v>4168</v>
      </c>
      <c r="P65" s="35">
        <f t="shared" si="16"/>
        <v>4488</v>
      </c>
      <c r="Q65" s="35">
        <f t="shared" si="17"/>
        <v>4809</v>
      </c>
      <c r="R65" s="35">
        <f t="shared" si="18"/>
        <v>5130</v>
      </c>
      <c r="S65" s="35">
        <f t="shared" si="19"/>
        <v>5450</v>
      </c>
      <c r="T65" s="35">
        <f t="shared" si="20"/>
        <v>5771</v>
      </c>
      <c r="U65" s="35">
        <f t="shared" si="21"/>
        <v>6091</v>
      </c>
      <c r="V65" s="35">
        <f t="shared" si="22"/>
        <v>6412</v>
      </c>
      <c r="W65" s="35">
        <f t="shared" si="23"/>
        <v>6733</v>
      </c>
      <c r="X65" s="35">
        <f t="shared" si="24"/>
        <v>7053</v>
      </c>
      <c r="Y65" s="35">
        <f t="shared" si="25"/>
        <v>7374</v>
      </c>
      <c r="Z65" s="35">
        <f t="shared" si="26"/>
        <v>7694</v>
      </c>
      <c r="AA65" s="35">
        <f t="shared" si="27"/>
        <v>8015</v>
      </c>
      <c r="AB65" s="35">
        <f t="shared" si="28"/>
        <v>8336</v>
      </c>
      <c r="AC65" s="35">
        <f t="shared" si="29"/>
        <v>8656</v>
      </c>
      <c r="AD65" s="35">
        <f t="shared" si="30"/>
        <v>8977</v>
      </c>
      <c r="AE65" s="35">
        <f t="shared" si="31"/>
        <v>9297</v>
      </c>
      <c r="AF65" s="35">
        <f t="shared" si="32"/>
        <v>9618</v>
      </c>
    </row>
    <row r="66" spans="2:32">
      <c r="B66" s="34" t="s">
        <v>74</v>
      </c>
      <c r="C66" s="35">
        <f t="shared" si="3"/>
        <v>442</v>
      </c>
      <c r="D66" s="35">
        <f t="shared" si="4"/>
        <v>885</v>
      </c>
      <c r="E66" s="35">
        <f t="shared" si="5"/>
        <v>1327</v>
      </c>
      <c r="F66" s="35">
        <f t="shared" si="6"/>
        <v>1770</v>
      </c>
      <c r="G66" s="35">
        <f t="shared" si="7"/>
        <v>2212</v>
      </c>
      <c r="H66" s="35">
        <f t="shared" si="8"/>
        <v>2655</v>
      </c>
      <c r="I66" s="35">
        <f t="shared" si="9"/>
        <v>3097</v>
      </c>
      <c r="J66" s="35">
        <f t="shared" si="10"/>
        <v>3540</v>
      </c>
      <c r="K66" s="35">
        <f t="shared" si="11"/>
        <v>3982</v>
      </c>
      <c r="L66" s="35">
        <f t="shared" si="12"/>
        <v>4425</v>
      </c>
      <c r="M66" s="35">
        <f t="shared" si="13"/>
        <v>4867</v>
      </c>
      <c r="N66" s="35">
        <f t="shared" si="14"/>
        <v>5310</v>
      </c>
      <c r="O66" s="35">
        <f t="shared" si="15"/>
        <v>5752</v>
      </c>
      <c r="P66" s="35">
        <f t="shared" si="16"/>
        <v>6195</v>
      </c>
      <c r="Q66" s="35">
        <f t="shared" si="17"/>
        <v>6637</v>
      </c>
      <c r="R66" s="35">
        <f t="shared" si="18"/>
        <v>7079</v>
      </c>
      <c r="S66" s="35">
        <f t="shared" si="19"/>
        <v>7522</v>
      </c>
      <c r="T66" s="35">
        <f t="shared" si="20"/>
        <v>7964</v>
      </c>
      <c r="U66" s="35">
        <f t="shared" si="21"/>
        <v>8407</v>
      </c>
      <c r="V66" s="35">
        <f t="shared" si="22"/>
        <v>8849</v>
      </c>
      <c r="W66" s="35">
        <f t="shared" si="23"/>
        <v>9292</v>
      </c>
      <c r="X66" s="35">
        <f t="shared" si="24"/>
        <v>9734</v>
      </c>
      <c r="Y66" s="35">
        <f t="shared" si="25"/>
        <v>10177</v>
      </c>
      <c r="Z66" s="35">
        <f t="shared" si="26"/>
        <v>10619</v>
      </c>
      <c r="AA66" s="35">
        <f t="shared" si="27"/>
        <v>11062</v>
      </c>
      <c r="AB66" s="35">
        <f t="shared" si="28"/>
        <v>11504</v>
      </c>
      <c r="AC66" s="35">
        <f t="shared" si="29"/>
        <v>11947</v>
      </c>
      <c r="AD66" s="35">
        <f t="shared" si="30"/>
        <v>12389</v>
      </c>
      <c r="AE66" s="35">
        <f t="shared" si="31"/>
        <v>12832</v>
      </c>
      <c r="AF66" s="35">
        <f t="shared" si="32"/>
        <v>13274</v>
      </c>
    </row>
    <row r="67" spans="2:32">
      <c r="B67" s="36" t="s">
        <v>75</v>
      </c>
      <c r="C67" s="35">
        <f t="shared" si="3"/>
        <v>513</v>
      </c>
      <c r="D67" s="35">
        <f t="shared" si="4"/>
        <v>1026</v>
      </c>
      <c r="E67" s="35">
        <f t="shared" si="5"/>
        <v>1539</v>
      </c>
      <c r="F67" s="35">
        <f t="shared" si="6"/>
        <v>2052</v>
      </c>
      <c r="G67" s="35">
        <f t="shared" si="7"/>
        <v>2565</v>
      </c>
      <c r="H67" s="35">
        <f t="shared" si="8"/>
        <v>3078</v>
      </c>
      <c r="I67" s="35">
        <f t="shared" si="9"/>
        <v>3591</v>
      </c>
      <c r="J67" s="35">
        <f t="shared" si="10"/>
        <v>4104</v>
      </c>
      <c r="K67" s="35">
        <f t="shared" si="11"/>
        <v>4617</v>
      </c>
      <c r="L67" s="35">
        <f t="shared" si="12"/>
        <v>5129</v>
      </c>
      <c r="M67" s="35">
        <f t="shared" si="13"/>
        <v>5642</v>
      </c>
      <c r="N67" s="35">
        <f t="shared" si="14"/>
        <v>6155</v>
      </c>
      <c r="O67" s="35">
        <f t="shared" si="15"/>
        <v>6668</v>
      </c>
      <c r="P67" s="35">
        <f t="shared" si="16"/>
        <v>7181</v>
      </c>
      <c r="Q67" s="35">
        <f t="shared" si="17"/>
        <v>7694</v>
      </c>
      <c r="R67" s="35">
        <f t="shared" si="18"/>
        <v>8207</v>
      </c>
      <c r="S67" s="35">
        <f t="shared" si="19"/>
        <v>8720</v>
      </c>
      <c r="T67" s="35">
        <f t="shared" si="20"/>
        <v>9233</v>
      </c>
      <c r="U67" s="35">
        <f t="shared" si="21"/>
        <v>9746</v>
      </c>
      <c r="V67" s="35">
        <f t="shared" si="22"/>
        <v>10259</v>
      </c>
      <c r="W67" s="35">
        <f t="shared" si="23"/>
        <v>10772</v>
      </c>
      <c r="X67" s="35">
        <f t="shared" si="24"/>
        <v>11285</v>
      </c>
      <c r="Y67" s="35">
        <f t="shared" si="25"/>
        <v>11798</v>
      </c>
      <c r="Z67" s="35">
        <f t="shared" si="26"/>
        <v>12311</v>
      </c>
      <c r="AA67" s="35">
        <f t="shared" si="27"/>
        <v>12824</v>
      </c>
      <c r="AB67" s="35">
        <f t="shared" si="28"/>
        <v>13337</v>
      </c>
      <c r="AC67" s="35">
        <f t="shared" si="29"/>
        <v>13850</v>
      </c>
      <c r="AD67" s="35">
        <f t="shared" si="30"/>
        <v>14363</v>
      </c>
      <c r="AE67" s="35">
        <f t="shared" si="31"/>
        <v>14876</v>
      </c>
      <c r="AF67" s="35">
        <f t="shared" si="32"/>
        <v>15388</v>
      </c>
    </row>
    <row r="68" spans="2:32">
      <c r="B68" s="34" t="s">
        <v>76</v>
      </c>
      <c r="C68" s="35">
        <f t="shared" si="3"/>
        <v>636</v>
      </c>
      <c r="D68" s="35">
        <f t="shared" si="4"/>
        <v>1271</v>
      </c>
      <c r="E68" s="35">
        <f t="shared" si="5"/>
        <v>1907</v>
      </c>
      <c r="F68" s="35">
        <f t="shared" si="6"/>
        <v>2543</v>
      </c>
      <c r="G68" s="35">
        <f t="shared" si="7"/>
        <v>3179</v>
      </c>
      <c r="H68" s="35">
        <f t="shared" si="8"/>
        <v>3814</v>
      </c>
      <c r="I68" s="35">
        <f t="shared" si="9"/>
        <v>4450</v>
      </c>
      <c r="J68" s="35">
        <f t="shared" si="10"/>
        <v>5086</v>
      </c>
      <c r="K68" s="35">
        <f t="shared" si="11"/>
        <v>5721</v>
      </c>
      <c r="L68" s="35">
        <f t="shared" si="12"/>
        <v>6357</v>
      </c>
      <c r="M68" s="35">
        <f t="shared" si="13"/>
        <v>6993</v>
      </c>
      <c r="N68" s="35">
        <f t="shared" si="14"/>
        <v>7629</v>
      </c>
      <c r="O68" s="35">
        <f t="shared" si="15"/>
        <v>8264</v>
      </c>
      <c r="P68" s="35">
        <f t="shared" si="16"/>
        <v>8900</v>
      </c>
      <c r="Q68" s="35">
        <f t="shared" si="17"/>
        <v>9536</v>
      </c>
      <c r="R68" s="35">
        <f t="shared" si="18"/>
        <v>10171</v>
      </c>
      <c r="S68" s="35">
        <f t="shared" si="19"/>
        <v>10807</v>
      </c>
      <c r="T68" s="35">
        <f t="shared" si="20"/>
        <v>11443</v>
      </c>
      <c r="U68" s="35">
        <f t="shared" si="21"/>
        <v>12078</v>
      </c>
      <c r="V68" s="35">
        <f t="shared" si="22"/>
        <v>12714</v>
      </c>
      <c r="W68" s="35">
        <f t="shared" si="23"/>
        <v>13350</v>
      </c>
      <c r="X68" s="35">
        <f t="shared" si="24"/>
        <v>13986</v>
      </c>
      <c r="Y68" s="35">
        <f t="shared" si="25"/>
        <v>14621</v>
      </c>
      <c r="Z68" s="35">
        <f t="shared" si="26"/>
        <v>15257</v>
      </c>
      <c r="AA68" s="35">
        <f t="shared" si="27"/>
        <v>15893</v>
      </c>
      <c r="AB68" s="35">
        <f t="shared" si="28"/>
        <v>16528</v>
      </c>
      <c r="AC68" s="35">
        <f t="shared" si="29"/>
        <v>17164</v>
      </c>
      <c r="AD68" s="35">
        <f t="shared" si="30"/>
        <v>17800</v>
      </c>
      <c r="AE68" s="35">
        <f t="shared" si="31"/>
        <v>18436</v>
      </c>
      <c r="AF68" s="35">
        <f t="shared" si="32"/>
        <v>19071</v>
      </c>
    </row>
  </sheetData>
  <mergeCells count="2">
    <mergeCell ref="A1:A8"/>
    <mergeCell ref="A11:A18"/>
  </mergeCells>
  <phoneticPr fontId="24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zoomScaleNormal="100" workbookViewId="0"/>
  </sheetViews>
  <sheetFormatPr baseColWidth="10" defaultColWidth="8.42578125" defaultRowHeight="20"/>
  <cols>
    <col min="1" max="1" width="16" style="2" customWidth="1"/>
    <col min="2" max="13" width="11" style="2" customWidth="1"/>
  </cols>
  <sheetData>
    <row r="1" spans="1:13">
      <c r="A1" s="37" t="s">
        <v>77</v>
      </c>
    </row>
    <row r="2" spans="1:13">
      <c r="A2" s="38" t="s">
        <v>78</v>
      </c>
    </row>
    <row r="4" spans="1:13" ht="32">
      <c r="A4" s="19" t="s">
        <v>2</v>
      </c>
      <c r="B4" s="19" t="s">
        <v>79</v>
      </c>
      <c r="C4" s="19" t="s">
        <v>80</v>
      </c>
      <c r="D4" s="19" t="s">
        <v>81</v>
      </c>
      <c r="E4" s="19" t="s">
        <v>82</v>
      </c>
    </row>
    <row r="5" spans="1:13">
      <c r="A5" s="39" t="s">
        <v>52</v>
      </c>
      <c r="B5" s="23">
        <f t="shared" ref="B5:B10" si="0">MIN(B20:I20)</f>
        <v>0.31807655938018509</v>
      </c>
      <c r="C5" s="23">
        <f t="shared" ref="C5:C10" si="1">AVERAGE(B20:I20)</f>
        <v>0.40106459842921294</v>
      </c>
      <c r="D5" s="23">
        <f t="shared" ref="D5:D10" si="2">MAX(B20:I20)</f>
        <v>0.45086085213338967</v>
      </c>
      <c r="E5" s="23">
        <f t="shared" ref="E5:E10" si="3">D5-B5</f>
        <v>0.13278429275320458</v>
      </c>
    </row>
    <row r="6" spans="1:13">
      <c r="A6" s="39" t="s">
        <v>53</v>
      </c>
      <c r="B6" s="23">
        <f t="shared" si="0"/>
        <v>0.37638084767569391</v>
      </c>
      <c r="C6" s="23">
        <f t="shared" si="1"/>
        <v>0.46560349231188758</v>
      </c>
      <c r="D6" s="23">
        <f t="shared" si="2"/>
        <v>0.51572974837609498</v>
      </c>
      <c r="E6" s="23">
        <f t="shared" si="3"/>
        <v>0.13934890070040107</v>
      </c>
    </row>
    <row r="7" spans="1:13">
      <c r="A7" s="39" t="s">
        <v>54</v>
      </c>
      <c r="B7" s="23">
        <f t="shared" si="0"/>
        <v>0.41397989081526476</v>
      </c>
      <c r="C7" s="23">
        <f t="shared" si="1"/>
        <v>0.5043179508951745</v>
      </c>
      <c r="D7" s="23">
        <f t="shared" si="2"/>
        <v>0.54902029449601364</v>
      </c>
      <c r="E7" s="23">
        <f t="shared" si="3"/>
        <v>0.13504040368074888</v>
      </c>
    </row>
    <row r="8" spans="1:13">
      <c r="A8" s="39" t="s">
        <v>55</v>
      </c>
      <c r="B8" s="23">
        <f t="shared" si="0"/>
        <v>0.6062072892938497</v>
      </c>
      <c r="C8" s="23">
        <f t="shared" si="1"/>
        <v>0.69602216360136104</v>
      </c>
      <c r="D8" s="23">
        <f t="shared" si="2"/>
        <v>0.75727191190223953</v>
      </c>
      <c r="E8" s="23">
        <f t="shared" si="3"/>
        <v>0.15106462260838982</v>
      </c>
    </row>
    <row r="9" spans="1:13">
      <c r="A9" s="40" t="s">
        <v>56</v>
      </c>
      <c r="B9" s="23">
        <f t="shared" si="0"/>
        <v>0.72007152725048518</v>
      </c>
      <c r="C9" s="23">
        <f t="shared" si="1"/>
        <v>0.80689156782736871</v>
      </c>
      <c r="D9" s="23">
        <f t="shared" si="2"/>
        <v>0.90158210317783705</v>
      </c>
      <c r="E9" s="23">
        <f t="shared" si="3"/>
        <v>0.18151057592735187</v>
      </c>
    </row>
    <row r="10" spans="1:13">
      <c r="A10" s="39" t="s">
        <v>57</v>
      </c>
      <c r="B10" s="23">
        <f t="shared" si="0"/>
        <v>1</v>
      </c>
      <c r="C10" s="23">
        <f t="shared" si="1"/>
        <v>1</v>
      </c>
      <c r="D10" s="23">
        <f t="shared" si="2"/>
        <v>1</v>
      </c>
      <c r="E10" s="23">
        <f t="shared" si="3"/>
        <v>0</v>
      </c>
    </row>
    <row r="12" spans="1:13">
      <c r="A12" s="16" t="s">
        <v>83</v>
      </c>
    </row>
    <row r="13" spans="1:13">
      <c r="A13" s="41" t="s">
        <v>2</v>
      </c>
      <c r="B13" s="42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42" t="s">
        <v>90</v>
      </c>
      <c r="I13" s="42" t="s">
        <v>91</v>
      </c>
      <c r="J13" s="42" t="s">
        <v>92</v>
      </c>
      <c r="K13" s="42" t="s">
        <v>93</v>
      </c>
      <c r="L13" s="42" t="s">
        <v>94</v>
      </c>
      <c r="M13" s="42" t="s">
        <v>95</v>
      </c>
    </row>
    <row r="14" spans="1:13">
      <c r="A14" s="30" t="s">
        <v>52</v>
      </c>
      <c r="B14" s="22">
        <f>ROUND(500*Sheet1!$E$52*B5,0)</f>
        <v>1011</v>
      </c>
      <c r="C14" s="22">
        <f>ROUND(500*Sheet1!$E$52*C5,0)</f>
        <v>1275</v>
      </c>
      <c r="D14" s="22">
        <f>ROUND(500*Sheet1!$E$52*D5,0)</f>
        <v>1433</v>
      </c>
      <c r="E14" s="22">
        <f>ROUND(1000*Sheet1!$E$52*B5,0)</f>
        <v>2022</v>
      </c>
      <c r="F14" s="22">
        <f>ROUND(1000*Sheet1!$E$52*C5,0)</f>
        <v>2550</v>
      </c>
      <c r="G14" s="22">
        <f>ROUND(1000*Sheet1!$E$52*D5,0)</f>
        <v>2866</v>
      </c>
      <c r="H14" s="22">
        <f>ROUND(2000*Sheet1!$E$52*B5,0)</f>
        <v>4044</v>
      </c>
      <c r="I14" s="22">
        <f>ROUND(2000*Sheet1!$E$52*C5,0)</f>
        <v>5099</v>
      </c>
      <c r="J14" s="22">
        <f>ROUND(2000*Sheet1!$E$52*D5,0)</f>
        <v>5732</v>
      </c>
      <c r="K14" s="22">
        <f>ROUND(3000*Sheet1!$E$52*B5,0)</f>
        <v>6066</v>
      </c>
      <c r="L14" s="22">
        <f>ROUND(3000*Sheet1!$E$52*C5,0)</f>
        <v>7649</v>
      </c>
      <c r="M14" s="22">
        <f>ROUND(3000*Sheet1!$E$52*D5,0)</f>
        <v>8598</v>
      </c>
    </row>
    <row r="15" spans="1:13">
      <c r="A15" s="30" t="s">
        <v>53</v>
      </c>
      <c r="B15" s="22">
        <f>ROUND(500*Sheet1!$E$52*B6,0)</f>
        <v>1196</v>
      </c>
      <c r="C15" s="22">
        <f>ROUND(500*Sheet1!$E$52*C6,0)</f>
        <v>1480</v>
      </c>
      <c r="D15" s="22">
        <f>ROUND(500*Sheet1!$E$52*D6,0)</f>
        <v>1639</v>
      </c>
      <c r="E15" s="22">
        <f>ROUND(1000*Sheet1!$E$52*B6,0)</f>
        <v>2393</v>
      </c>
      <c r="F15" s="22">
        <f>ROUND(1000*Sheet1!$E$52*C6,0)</f>
        <v>2960</v>
      </c>
      <c r="G15" s="22">
        <f>ROUND(1000*Sheet1!$E$52*D6,0)</f>
        <v>3279</v>
      </c>
      <c r="H15" s="22">
        <f>ROUND(2000*Sheet1!$E$52*B6,0)</f>
        <v>4785</v>
      </c>
      <c r="I15" s="22">
        <f>ROUND(2000*Sheet1!$E$52*C6,0)</f>
        <v>5920</v>
      </c>
      <c r="J15" s="22">
        <f>ROUND(2000*Sheet1!$E$52*D6,0)</f>
        <v>6557</v>
      </c>
      <c r="K15" s="22">
        <f>ROUND(3000*Sheet1!$E$52*B6,0)</f>
        <v>7178</v>
      </c>
      <c r="L15" s="22">
        <f>ROUND(3000*Sheet1!$E$52*C6,0)</f>
        <v>8880</v>
      </c>
      <c r="M15" s="22">
        <f>ROUND(3000*Sheet1!$E$52*D6,0)</f>
        <v>9836</v>
      </c>
    </row>
    <row r="16" spans="1:13">
      <c r="A16" s="30" t="s">
        <v>54</v>
      </c>
      <c r="B16" s="22">
        <f>ROUND(500*Sheet1!$E$52*B7,0)</f>
        <v>1316</v>
      </c>
      <c r="C16" s="22">
        <f>ROUND(500*Sheet1!$E$52*C7,0)</f>
        <v>1603</v>
      </c>
      <c r="D16" s="22">
        <f>ROUND(500*Sheet1!$E$52*D7,0)</f>
        <v>1745</v>
      </c>
      <c r="E16" s="22">
        <f>ROUND(1000*Sheet1!$E$52*B7,0)</f>
        <v>2632</v>
      </c>
      <c r="F16" s="22">
        <f>ROUND(1000*Sheet1!$E$52*C7,0)</f>
        <v>3206</v>
      </c>
      <c r="G16" s="22">
        <f>ROUND(1000*Sheet1!$E$52*D7,0)</f>
        <v>3490</v>
      </c>
      <c r="H16" s="22">
        <f>ROUND(2000*Sheet1!$E$52*B7,0)</f>
        <v>5263</v>
      </c>
      <c r="I16" s="22">
        <f>ROUND(2000*Sheet1!$E$52*C7,0)</f>
        <v>6412</v>
      </c>
      <c r="J16" s="22">
        <f>ROUND(2000*Sheet1!$E$52*D7,0)</f>
        <v>6980</v>
      </c>
      <c r="K16" s="22">
        <f>ROUND(3000*Sheet1!$E$52*B7,0)</f>
        <v>7895</v>
      </c>
      <c r="L16" s="22">
        <f>ROUND(3000*Sheet1!$E$52*C7,0)</f>
        <v>9618</v>
      </c>
      <c r="M16" s="22">
        <f>ROUND(3000*Sheet1!$E$52*D7,0)</f>
        <v>10471</v>
      </c>
    </row>
    <row r="17" spans="1:13">
      <c r="A17" s="30" t="s">
        <v>55</v>
      </c>
      <c r="B17" s="22">
        <f>ROUND(500*Sheet1!$E$52*B8,0)</f>
        <v>1927</v>
      </c>
      <c r="C17" s="22">
        <f>ROUND(500*Sheet1!$E$52*C8,0)</f>
        <v>2212</v>
      </c>
      <c r="D17" s="22">
        <f>ROUND(500*Sheet1!$E$52*D8,0)</f>
        <v>2407</v>
      </c>
      <c r="E17" s="22">
        <f>ROUND(1000*Sheet1!$E$52*B8,0)</f>
        <v>3854</v>
      </c>
      <c r="F17" s="22">
        <f>ROUND(1000*Sheet1!$E$52*C8,0)</f>
        <v>4425</v>
      </c>
      <c r="G17" s="22">
        <f>ROUND(1000*Sheet1!$E$52*D8,0)</f>
        <v>4814</v>
      </c>
      <c r="H17" s="22">
        <f>ROUND(2000*Sheet1!$E$52*B8,0)</f>
        <v>7707</v>
      </c>
      <c r="I17" s="22">
        <f>ROUND(2000*Sheet1!$E$52*C8,0)</f>
        <v>8849</v>
      </c>
      <c r="J17" s="22">
        <f>ROUND(2000*Sheet1!$E$52*D8,0)</f>
        <v>9628</v>
      </c>
      <c r="K17" s="22">
        <f>ROUND(3000*Sheet1!$E$52*B8,0)</f>
        <v>11561</v>
      </c>
      <c r="L17" s="22">
        <f>ROUND(3000*Sheet1!$E$52*C8,0)</f>
        <v>13274</v>
      </c>
      <c r="M17" s="22">
        <f>ROUND(3000*Sheet1!$E$52*D8,0)</f>
        <v>14442</v>
      </c>
    </row>
    <row r="18" spans="1:13">
      <c r="A18" s="28" t="s">
        <v>56</v>
      </c>
      <c r="B18" s="22">
        <f>ROUND(500*Sheet1!$E$52*B9,0)</f>
        <v>2289</v>
      </c>
      <c r="C18" s="22">
        <f>ROUND(500*Sheet1!$E$52*C9,0)</f>
        <v>2565</v>
      </c>
      <c r="D18" s="22">
        <f>ROUND(500*Sheet1!$E$52*D9,0)</f>
        <v>2866</v>
      </c>
      <c r="E18" s="22">
        <f>ROUND(1000*Sheet1!$E$52*B9,0)</f>
        <v>4578</v>
      </c>
      <c r="F18" s="22">
        <f>ROUND(1000*Sheet1!$E$52*C9,0)</f>
        <v>5129</v>
      </c>
      <c r="G18" s="22">
        <f>ROUND(1000*Sheet1!$E$52*D9,0)</f>
        <v>5731</v>
      </c>
      <c r="H18" s="22">
        <f>ROUND(2000*Sheet1!$E$52*B9,0)</f>
        <v>9155</v>
      </c>
      <c r="I18" s="22">
        <f>ROUND(2000*Sheet1!$E$52*C9,0)</f>
        <v>10259</v>
      </c>
      <c r="J18" s="22">
        <f>ROUND(2000*Sheet1!$E$52*D9,0)</f>
        <v>11463</v>
      </c>
      <c r="K18" s="22">
        <f>ROUND(3000*Sheet1!$E$52*B9,0)</f>
        <v>13733</v>
      </c>
      <c r="L18" s="22">
        <f>ROUND(3000*Sheet1!$E$52*C9,0)</f>
        <v>15388</v>
      </c>
      <c r="M18" s="22">
        <f>ROUND(3000*Sheet1!$E$52*D9,0)</f>
        <v>17194</v>
      </c>
    </row>
    <row r="19" spans="1:13">
      <c r="A19" s="30" t="s">
        <v>57</v>
      </c>
      <c r="B19" s="22">
        <f>ROUND(500*Sheet1!$E$52*B10,0)</f>
        <v>3179</v>
      </c>
      <c r="C19" s="22">
        <f>ROUND(500*Sheet1!$E$52*C10,0)</f>
        <v>3179</v>
      </c>
      <c r="D19" s="22">
        <f>ROUND(500*Sheet1!$E$52*D10,0)</f>
        <v>3179</v>
      </c>
      <c r="E19" s="22">
        <f>ROUND(1000*Sheet1!$E$52*B10,0)</f>
        <v>6357</v>
      </c>
      <c r="F19" s="22">
        <f>ROUND(1000*Sheet1!$E$52*C10,0)</f>
        <v>6357</v>
      </c>
      <c r="G19" s="22">
        <f>ROUND(1000*Sheet1!$E$52*D10,0)</f>
        <v>6357</v>
      </c>
      <c r="H19" s="22">
        <f>ROUND(2000*Sheet1!$E$52*B10,0)</f>
        <v>12714</v>
      </c>
      <c r="I19" s="22">
        <f>ROUND(2000*Sheet1!$E$52*C10,0)</f>
        <v>12714</v>
      </c>
      <c r="J19" s="22">
        <f>ROUND(2000*Sheet1!$E$52*D10,0)</f>
        <v>12714</v>
      </c>
      <c r="K19" s="22">
        <f>ROUND(3000*Sheet1!$E$52*B10,0)</f>
        <v>19071</v>
      </c>
      <c r="L19" s="22">
        <f>ROUND(3000*Sheet1!$E$52*C10,0)</f>
        <v>19071</v>
      </c>
      <c r="M19" s="22">
        <f>ROUND(3000*Sheet1!$E$52*D10,0)</f>
        <v>19071</v>
      </c>
    </row>
    <row r="20" spans="1:13">
      <c r="A20" s="43" t="s">
        <v>96</v>
      </c>
      <c r="B20" s="44">
        <f>(Sheet1!D3+Sheet1!D13)/2</f>
        <v>0.31807655938018509</v>
      </c>
      <c r="C20" s="44">
        <f>(Sheet1!F3+Sheet1!F13)/2</f>
        <v>0.43906801589284117</v>
      </c>
      <c r="D20" s="44">
        <f>(Sheet1!H3+Sheet1!H13)/2</f>
        <v>0.42241871078151738</v>
      </c>
      <c r="E20" s="44">
        <f>(Sheet1!J3+Sheet1!J13)/2</f>
        <v>0.42650345026666003</v>
      </c>
      <c r="F20" s="44">
        <f>(Sheet1!L3+Sheet1!L13)/2</f>
        <v>0.36147522491436068</v>
      </c>
      <c r="G20" s="44">
        <f>(Sheet1!N3+Sheet1!N13)/2</f>
        <v>0.37496721516771508</v>
      </c>
      <c r="H20" s="44">
        <f>(Sheet1!P3+Sheet1!P13)/2</f>
        <v>0.45086085213338967</v>
      </c>
      <c r="I20" s="44">
        <f>(Sheet1!R3+Sheet1!R13)/2</f>
        <v>0.41514675889703451</v>
      </c>
    </row>
    <row r="21" spans="1:13">
      <c r="A21" s="43" t="s">
        <v>97</v>
      </c>
      <c r="B21" s="44">
        <f>(Sheet1!D4+Sheet1!D14)/2</f>
        <v>0.37638084767569391</v>
      </c>
      <c r="C21" s="44">
        <f>(Sheet1!F4+Sheet1!F14)/2</f>
        <v>0.49575499636299653</v>
      </c>
      <c r="D21" s="44">
        <f>(Sheet1!H4+Sheet1!H14)/2</f>
        <v>0.48927385415090163</v>
      </c>
      <c r="E21" s="44">
        <f>(Sheet1!J4+Sheet1!J14)/2</f>
        <v>0.48929912509219853</v>
      </c>
      <c r="F21" s="44">
        <f>(Sheet1!L4+Sheet1!L14)/2</f>
        <v>0.42560146134507537</v>
      </c>
      <c r="G21" s="44">
        <f>(Sheet1!N4+Sheet1!N14)/2</f>
        <v>0.43956525845840166</v>
      </c>
      <c r="H21" s="44">
        <f>(Sheet1!P4+Sheet1!P14)/2</f>
        <v>0.51572974837609498</v>
      </c>
      <c r="I21" s="44">
        <f>(Sheet1!R4+Sheet1!R14)/2</f>
        <v>0.49322264703373797</v>
      </c>
    </row>
    <row r="22" spans="1:13">
      <c r="A22" s="43" t="s">
        <v>98</v>
      </c>
      <c r="B22" s="44">
        <f>(Sheet1!D5+Sheet1!D15)/2</f>
        <v>0.41397989081526476</v>
      </c>
      <c r="C22" s="44">
        <f>(Sheet1!F5+Sheet1!F15)/2</f>
        <v>0.53469096467786204</v>
      </c>
      <c r="D22" s="44">
        <f>(Sheet1!H5+Sheet1!H15)/2</f>
        <v>0.53438396179920911</v>
      </c>
      <c r="E22" s="44">
        <f>(Sheet1!J5+Sheet1!J15)/2</f>
        <v>0.52529835565579797</v>
      </c>
      <c r="F22" s="44">
        <f>(Sheet1!L5+Sheet1!L15)/2</f>
        <v>0.46230439088677056</v>
      </c>
      <c r="G22" s="44">
        <f>(Sheet1!N5+Sheet1!N15)/2</f>
        <v>0.47833199955212835</v>
      </c>
      <c r="H22" s="44">
        <f>(Sheet1!P5+Sheet1!P15)/2</f>
        <v>0.54902029449601364</v>
      </c>
      <c r="I22" s="44">
        <f>(Sheet1!R5+Sheet1!R15)/2</f>
        <v>0.53653374927834996</v>
      </c>
    </row>
    <row r="23" spans="1:13">
      <c r="A23" s="43" t="s">
        <v>99</v>
      </c>
      <c r="B23" s="44">
        <f>(Sheet1!D6+Sheet1!D16)/2</f>
        <v>0.6062072892938497</v>
      </c>
      <c r="C23" s="44">
        <f>(Sheet1!F6+Sheet1!F16)/2</f>
        <v>0.71647240511976973</v>
      </c>
      <c r="D23" s="44">
        <f>(Sheet1!H6+Sheet1!H16)/2</f>
        <v>0.75727191190223953</v>
      </c>
      <c r="E23" s="44">
        <f>(Sheet1!J6+Sheet1!J16)/2</f>
        <v>0.68724794689906288</v>
      </c>
      <c r="F23" s="44">
        <f>(Sheet1!L6+Sheet1!L16)/2</f>
        <v>0.66618505604662703</v>
      </c>
      <c r="G23" s="44">
        <f>(Sheet1!N6+Sheet1!N16)/2</f>
        <v>0.68350961831526302</v>
      </c>
      <c r="H23" s="44">
        <f>(Sheet1!P6+Sheet1!P16)/2</f>
        <v>0.72575907686021091</v>
      </c>
      <c r="I23" s="44">
        <f>(Sheet1!R6+Sheet1!R16)/2</f>
        <v>0.72552400437386566</v>
      </c>
    </row>
    <row r="24" spans="1:13">
      <c r="A24" s="45" t="s">
        <v>100</v>
      </c>
      <c r="B24" s="44">
        <f>(Sheet1!D7+Sheet1!D17)/2</f>
        <v>0.72007152725048518</v>
      </c>
      <c r="C24" s="44">
        <f>(Sheet1!F7+Sheet1!F17)/2</f>
        <v>0.81804731403757658</v>
      </c>
      <c r="D24" s="44">
        <f>(Sheet1!H7+Sheet1!H17)/2</f>
        <v>0.90158210317783705</v>
      </c>
      <c r="E24" s="44">
        <f>(Sheet1!J7+Sheet1!J17)/2</f>
        <v>0.7895005304062902</v>
      </c>
      <c r="F24" s="44">
        <f>(Sheet1!L7+Sheet1!L17)/2</f>
        <v>0.78182467950162859</v>
      </c>
      <c r="G24" s="44">
        <f>(Sheet1!N7+Sheet1!N17)/2</f>
        <v>0.79833121909245808</v>
      </c>
      <c r="H24" s="44">
        <f>(Sheet1!P7+Sheet1!P17)/2</f>
        <v>0.82348993962814743</v>
      </c>
      <c r="I24" s="44">
        <f>(Sheet1!R7+Sheet1!R17)/2</f>
        <v>0.82228522952452643</v>
      </c>
    </row>
    <row r="25" spans="1:13">
      <c r="A25" s="43" t="s">
        <v>101</v>
      </c>
      <c r="B25" s="44">
        <f>(Sheet1!D8+Sheet1!D18)/2</f>
        <v>1</v>
      </c>
      <c r="C25" s="44">
        <f>(Sheet1!F8+Sheet1!F18)/2</f>
        <v>1</v>
      </c>
      <c r="D25" s="44">
        <f>(Sheet1!H8+Sheet1!H18)/2</f>
        <v>1</v>
      </c>
      <c r="E25" s="44">
        <f>(Sheet1!J8+Sheet1!J18)/2</f>
        <v>1</v>
      </c>
      <c r="F25" s="44">
        <f>(Sheet1!L8+Sheet1!L18)/2</f>
        <v>1</v>
      </c>
      <c r="G25" s="44">
        <f>(Sheet1!N8+Sheet1!N18)/2</f>
        <v>1</v>
      </c>
      <c r="H25" s="44">
        <f>(Sheet1!P8+Sheet1!P18)/2</f>
        <v>1</v>
      </c>
      <c r="I25" s="44">
        <f>(Sheet1!R8+Sheet1!R18)/2</f>
        <v>1</v>
      </c>
    </row>
  </sheetData>
  <phoneticPr fontId="24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zoomScale="160" zoomScaleNormal="160" workbookViewId="0">
      <selection activeCell="D35" sqref="D35"/>
    </sheetView>
  </sheetViews>
  <sheetFormatPr baseColWidth="10" defaultColWidth="10.42578125" defaultRowHeight="20"/>
  <cols>
    <col min="2" max="2" width="11.5703125" style="2" customWidth="1"/>
    <col min="3" max="3" width="5.7109375" style="2" customWidth="1"/>
    <col min="4" max="4" width="5.140625" style="2" customWidth="1"/>
    <col min="5" max="5" width="6.85546875" style="2" customWidth="1"/>
    <col min="6" max="6" width="5.140625" style="2" customWidth="1"/>
    <col min="7" max="7" width="6.85546875" style="2" customWidth="1"/>
    <col min="8" max="8" width="5.140625" style="2" customWidth="1"/>
    <col min="9" max="9" width="5.7109375" style="2" customWidth="1"/>
    <col min="10" max="10" width="5.140625" style="2" customWidth="1"/>
    <col min="11" max="11" width="5.7109375" style="2" customWidth="1"/>
    <col min="12" max="12" width="5.140625" style="2" customWidth="1"/>
    <col min="13" max="13" width="5.7109375" style="2" customWidth="1"/>
    <col min="14" max="14" width="5.140625" style="2" customWidth="1"/>
    <col min="15" max="15" width="5.7109375" style="2" customWidth="1"/>
    <col min="16" max="16" width="5.140625" style="2" customWidth="1"/>
    <col min="17" max="17" width="5.7109375" style="2" customWidth="1"/>
    <col min="18" max="18" width="5.140625" style="2" customWidth="1"/>
  </cols>
  <sheetData>
    <row r="1" spans="1:18">
      <c r="A1" s="25" t="s">
        <v>102</v>
      </c>
      <c r="B1" s="46" t="s">
        <v>103</v>
      </c>
      <c r="C1" s="46" t="s">
        <v>104</v>
      </c>
      <c r="D1" s="46" t="s">
        <v>105</v>
      </c>
      <c r="E1" s="46" t="s">
        <v>106</v>
      </c>
      <c r="F1" s="46" t="s">
        <v>105</v>
      </c>
      <c r="G1" s="46" t="s">
        <v>107</v>
      </c>
      <c r="H1" s="46" t="s">
        <v>105</v>
      </c>
      <c r="I1" s="46" t="s">
        <v>108</v>
      </c>
      <c r="J1" s="46" t="s">
        <v>105</v>
      </c>
      <c r="K1">
        <v>4</v>
      </c>
      <c r="L1" s="46" t="s">
        <v>105</v>
      </c>
      <c r="M1" s="25" t="s">
        <v>109</v>
      </c>
      <c r="N1" s="46" t="s">
        <v>105</v>
      </c>
      <c r="O1" s="25" t="s">
        <v>110</v>
      </c>
      <c r="P1" s="46" t="s">
        <v>105</v>
      </c>
      <c r="Q1" s="25" t="s">
        <v>111</v>
      </c>
      <c r="R1" s="46" t="s">
        <v>105</v>
      </c>
    </row>
    <row r="2" spans="1:18">
      <c r="A2" s="47" t="s">
        <v>12</v>
      </c>
      <c r="B2" s="48">
        <v>46143</v>
      </c>
      <c r="C2" s="46">
        <v>1682</v>
      </c>
      <c r="D2" s="46">
        <f>C2/C7</f>
        <v>0.3244598765432099</v>
      </c>
      <c r="E2">
        <v>862</v>
      </c>
      <c r="F2" s="46">
        <f>E2/E7</f>
        <v>0.43403826787512589</v>
      </c>
      <c r="G2">
        <v>1176</v>
      </c>
      <c r="H2" s="46">
        <f>G2/G7</f>
        <v>0.5</v>
      </c>
      <c r="I2">
        <v>2949</v>
      </c>
      <c r="J2" s="46">
        <f>I2/I7</f>
        <v>0.40890183028286192</v>
      </c>
      <c r="K2">
        <v>1131</v>
      </c>
      <c r="L2" s="46">
        <f>K2/K7</f>
        <v>0.35421233949264014</v>
      </c>
      <c r="M2">
        <v>1330</v>
      </c>
      <c r="N2" s="46">
        <f>M2/M7</f>
        <v>0.38207411663315138</v>
      </c>
      <c r="O2">
        <v>1171</v>
      </c>
      <c r="P2" s="46">
        <f>O2/O7</f>
        <v>0.43890554722638681</v>
      </c>
      <c r="Q2">
        <v>3016</v>
      </c>
      <c r="R2" s="46">
        <f>Q2/Q7</f>
        <v>0.39867812293456706</v>
      </c>
    </row>
    <row r="3" spans="1:18">
      <c r="A3" s="47" t="s">
        <v>13</v>
      </c>
      <c r="B3" s="48">
        <v>46113</v>
      </c>
      <c r="C3" s="46">
        <v>1947</v>
      </c>
      <c r="D3" s="46">
        <f>C3/C7</f>
        <v>0.37557870370370372</v>
      </c>
      <c r="E3">
        <v>956</v>
      </c>
      <c r="F3" s="46">
        <f>E3/E7</f>
        <v>0.4813695871097684</v>
      </c>
      <c r="G3">
        <v>1359</v>
      </c>
      <c r="H3" s="46">
        <f>G3/G7</f>
        <v>0.57780612244897955</v>
      </c>
      <c r="I3">
        <v>3412</v>
      </c>
      <c r="J3" s="46">
        <f>I3/I7</f>
        <v>0.47310038824181921</v>
      </c>
      <c r="K3">
        <v>1335</v>
      </c>
      <c r="L3" s="46">
        <f>K3/K7</f>
        <v>0.41810209834011902</v>
      </c>
      <c r="M3">
        <v>1550</v>
      </c>
      <c r="N3" s="46">
        <f>M3/M7</f>
        <v>0.4452743464521689</v>
      </c>
      <c r="O3">
        <v>1357</v>
      </c>
      <c r="P3" s="46">
        <f>O3/O7</f>
        <v>0.50862068965517238</v>
      </c>
      <c r="Q3">
        <v>3618</v>
      </c>
      <c r="R3" s="46">
        <f>Q3/Q7</f>
        <v>0.47825512227362854</v>
      </c>
    </row>
    <row r="4" spans="1:18">
      <c r="A4" s="47" t="s">
        <v>14</v>
      </c>
      <c r="B4" s="48">
        <v>46082</v>
      </c>
      <c r="C4" s="46">
        <v>2141</v>
      </c>
      <c r="D4" s="46">
        <f>C4/C7</f>
        <v>0.41300154320987653</v>
      </c>
      <c r="E4">
        <v>1027</v>
      </c>
      <c r="F4" s="46">
        <f>E4/E7</f>
        <v>0.51711983887210478</v>
      </c>
      <c r="G4">
        <v>1486</v>
      </c>
      <c r="H4" s="46">
        <f>G4/G7</f>
        <v>0.63180272108843538</v>
      </c>
      <c r="I4">
        <v>3733</v>
      </c>
      <c r="J4" s="46">
        <f>I4/I7</f>
        <v>0.51760953965612866</v>
      </c>
      <c r="K4">
        <v>1456</v>
      </c>
      <c r="L4" s="46">
        <f>K4/K7</f>
        <v>0.45599749451926086</v>
      </c>
      <c r="M4">
        <v>1687</v>
      </c>
      <c r="N4" s="46">
        <f>M4/M7</f>
        <v>0.48463085320310256</v>
      </c>
      <c r="O4">
        <v>1445</v>
      </c>
      <c r="P4" s="46">
        <f>O4/O7</f>
        <v>0.54160419790104952</v>
      </c>
      <c r="Q4">
        <v>3963</v>
      </c>
      <c r="R4" s="46">
        <f>Q4/Q7</f>
        <v>0.52385988103106407</v>
      </c>
    </row>
    <row r="5" spans="1:18">
      <c r="A5" s="47" t="s">
        <v>15</v>
      </c>
      <c r="B5" s="48">
        <v>45992</v>
      </c>
      <c r="C5" s="46">
        <v>2592</v>
      </c>
      <c r="D5" s="46">
        <f>C5/C7</f>
        <v>0.5</v>
      </c>
      <c r="E5">
        <v>1212</v>
      </c>
      <c r="F5" s="46">
        <f>E5/E7</f>
        <v>0.61027190332326287</v>
      </c>
      <c r="G5">
        <v>1765</v>
      </c>
      <c r="H5" s="46">
        <f>G5/G7</f>
        <v>0.75042517006802723</v>
      </c>
      <c r="I5">
        <v>4375</v>
      </c>
      <c r="J5" s="46">
        <f>I5/I7</f>
        <v>0.60662784248474766</v>
      </c>
      <c r="K5">
        <v>1777</v>
      </c>
      <c r="L5" s="46">
        <f>K5/K7</f>
        <v>0.55652990917632317</v>
      </c>
      <c r="M5">
        <v>1974</v>
      </c>
      <c r="N5" s="46">
        <f>M5/M7</f>
        <v>0.56707842573973</v>
      </c>
      <c r="O5">
        <v>1675</v>
      </c>
      <c r="P5" s="46">
        <f>O5/O7</f>
        <v>0.62781109445277361</v>
      </c>
      <c r="Q5">
        <v>4739</v>
      </c>
      <c r="R5" s="46">
        <f>Q5/Q7</f>
        <v>0.62643754130865825</v>
      </c>
    </row>
    <row r="6" spans="1:18">
      <c r="A6" s="49" t="s">
        <v>16</v>
      </c>
      <c r="B6" s="48">
        <v>45778</v>
      </c>
      <c r="C6" s="46">
        <v>3189</v>
      </c>
      <c r="D6" s="46">
        <f>C6/C7</f>
        <v>0.61516203703703709</v>
      </c>
      <c r="E6">
        <v>1475</v>
      </c>
      <c r="F6" s="46">
        <f>E6/E7</f>
        <v>0.74269889224572005</v>
      </c>
      <c r="G6">
        <v>2203</v>
      </c>
      <c r="H6" s="46">
        <f>G6/G7</f>
        <v>0.93664965986394555</v>
      </c>
      <c r="I6">
        <v>5308</v>
      </c>
      <c r="J6" s="46">
        <f>I6/I7</f>
        <v>0.73599556295063784</v>
      </c>
      <c r="K6">
        <v>2231</v>
      </c>
      <c r="L6" s="46">
        <f>K6/K7</f>
        <v>0.69871594112120261</v>
      </c>
      <c r="M6">
        <v>2453</v>
      </c>
      <c r="N6" s="46">
        <f>M6/M7</f>
        <v>0.70468256248204542</v>
      </c>
      <c r="O6">
        <v>1987</v>
      </c>
      <c r="P6" s="46">
        <f>O6/O7</f>
        <v>0.74475262368815587</v>
      </c>
      <c r="Q6">
        <v>5663</v>
      </c>
      <c r="R6" s="46">
        <f>Q6/Q7</f>
        <v>0.74857898215465957</v>
      </c>
    </row>
    <row r="7" spans="1:18">
      <c r="A7" s="47" t="s">
        <v>17</v>
      </c>
      <c r="B7" s="48">
        <v>45047</v>
      </c>
      <c r="C7" s="46">
        <v>5184</v>
      </c>
      <c r="D7" s="46">
        <f>C7/C7</f>
        <v>1</v>
      </c>
      <c r="E7">
        <v>1986</v>
      </c>
      <c r="F7" s="46">
        <f>E7/E7</f>
        <v>1</v>
      </c>
      <c r="G7">
        <v>2352</v>
      </c>
      <c r="H7" s="46">
        <f>G7/G7</f>
        <v>1</v>
      </c>
      <c r="I7">
        <v>7212</v>
      </c>
      <c r="J7" s="46">
        <f>I7/I7</f>
        <v>1</v>
      </c>
      <c r="K7">
        <v>3193</v>
      </c>
      <c r="L7" s="46">
        <f>K7/K7</f>
        <v>1</v>
      </c>
      <c r="M7">
        <v>3481</v>
      </c>
      <c r="N7" s="46">
        <f>M7/M7</f>
        <v>1</v>
      </c>
      <c r="O7">
        <v>2668</v>
      </c>
      <c r="P7" s="46">
        <f>O7/O7</f>
        <v>1</v>
      </c>
      <c r="Q7">
        <v>7565</v>
      </c>
      <c r="R7" s="46">
        <f>Q7/Q7</f>
        <v>1</v>
      </c>
    </row>
    <row r="8" spans="1:18">
      <c r="A8" s="47" t="s">
        <v>112</v>
      </c>
      <c r="B8" s="46"/>
      <c r="C8" s="46"/>
      <c r="D8" s="46"/>
    </row>
    <row r="9" spans="1:18">
      <c r="A9" s="46" t="s">
        <v>113</v>
      </c>
      <c r="B9" s="46"/>
      <c r="C9" s="46">
        <v>900</v>
      </c>
      <c r="D9" s="46"/>
      <c r="E9">
        <v>353</v>
      </c>
      <c r="G9">
        <v>563</v>
      </c>
      <c r="I9">
        <v>982</v>
      </c>
      <c r="K9">
        <v>440</v>
      </c>
      <c r="M9">
        <v>461</v>
      </c>
      <c r="O9">
        <v>389</v>
      </c>
      <c r="Q9">
        <v>1007</v>
      </c>
    </row>
    <row r="13" spans="1:18">
      <c r="A13" s="25" t="s">
        <v>114</v>
      </c>
      <c r="B13" s="46" t="s">
        <v>103</v>
      </c>
      <c r="C13" s="46" t="s">
        <v>104</v>
      </c>
      <c r="D13" s="46" t="s">
        <v>105</v>
      </c>
      <c r="E13" s="46" t="s">
        <v>106</v>
      </c>
      <c r="F13" s="46" t="s">
        <v>105</v>
      </c>
      <c r="G13" s="46" t="s">
        <v>107</v>
      </c>
      <c r="H13" s="46" t="s">
        <v>105</v>
      </c>
      <c r="I13" s="46" t="s">
        <v>108</v>
      </c>
      <c r="J13" s="46" t="s">
        <v>105</v>
      </c>
      <c r="K13">
        <v>4</v>
      </c>
      <c r="L13" s="46" t="s">
        <v>105</v>
      </c>
      <c r="M13" s="25" t="s">
        <v>109</v>
      </c>
      <c r="N13" s="46" t="s">
        <v>105</v>
      </c>
      <c r="O13" s="25" t="s">
        <v>110</v>
      </c>
      <c r="P13" s="46" t="s">
        <v>105</v>
      </c>
      <c r="Q13" s="25" t="s">
        <v>111</v>
      </c>
      <c r="R13" s="46" t="s">
        <v>105</v>
      </c>
    </row>
    <row r="14" spans="1:18">
      <c r="A14" s="47" t="s">
        <v>12</v>
      </c>
      <c r="B14" s="48">
        <v>46023</v>
      </c>
      <c r="C14" s="46">
        <v>1642</v>
      </c>
      <c r="D14" s="46">
        <f>C14/C19</f>
        <v>0.31169324221716022</v>
      </c>
      <c r="E14">
        <v>854</v>
      </c>
      <c r="F14" s="46">
        <f>E14/E19</f>
        <v>0.44409776391055644</v>
      </c>
      <c r="G14">
        <v>1209</v>
      </c>
      <c r="H14" s="46">
        <f>G14/G19</f>
        <v>0.34483742156303482</v>
      </c>
      <c r="I14">
        <v>1454</v>
      </c>
      <c r="J14" s="46">
        <f>I14/I19</f>
        <v>0.44410507025045814</v>
      </c>
      <c r="K14">
        <v>1163</v>
      </c>
      <c r="L14" s="46">
        <f>K14/K19</f>
        <v>0.36873811033608117</v>
      </c>
      <c r="M14">
        <v>1243</v>
      </c>
      <c r="N14" s="46">
        <f>M14/M19</f>
        <v>0.36786031370227879</v>
      </c>
      <c r="O14">
        <v>1226</v>
      </c>
      <c r="P14" s="46">
        <f>O14/O19</f>
        <v>0.46281615704039258</v>
      </c>
      <c r="Q14">
        <v>3241</v>
      </c>
      <c r="R14" s="46">
        <f>Q14/Q19</f>
        <v>0.43161539485950196</v>
      </c>
    </row>
    <row r="15" spans="1:18">
      <c r="A15" s="47" t="s">
        <v>13</v>
      </c>
      <c r="B15" s="48">
        <v>45992</v>
      </c>
      <c r="C15" s="46">
        <v>1987</v>
      </c>
      <c r="D15" s="46">
        <f>C15/C19</f>
        <v>0.37718299164768415</v>
      </c>
      <c r="E15">
        <v>981</v>
      </c>
      <c r="F15" s="46">
        <f>E15/E19</f>
        <v>0.51014040561622465</v>
      </c>
      <c r="G15">
        <v>1405</v>
      </c>
      <c r="H15" s="46">
        <f>G15/G19</f>
        <v>0.40074158585282371</v>
      </c>
      <c r="I15">
        <v>1655</v>
      </c>
      <c r="J15" s="46">
        <f>I15/I19</f>
        <v>0.50549786194257784</v>
      </c>
      <c r="K15">
        <v>1366</v>
      </c>
      <c r="L15" s="46">
        <f>K15/K19</f>
        <v>0.43310082435003172</v>
      </c>
      <c r="M15">
        <v>1466</v>
      </c>
      <c r="N15" s="46">
        <f>M15/M19</f>
        <v>0.43385617046463448</v>
      </c>
      <c r="O15">
        <v>1385</v>
      </c>
      <c r="P15" s="46">
        <f>O15/O19</f>
        <v>0.52283880709701769</v>
      </c>
      <c r="Q15">
        <v>3816</v>
      </c>
      <c r="R15" s="46">
        <f>Q15/Q19</f>
        <v>0.5081901717938474</v>
      </c>
    </row>
    <row r="16" spans="1:18">
      <c r="A16" s="47" t="s">
        <v>14</v>
      </c>
      <c r="B16" s="48">
        <v>45962</v>
      </c>
      <c r="C16" s="46">
        <v>2186</v>
      </c>
      <c r="D16" s="46">
        <f>C16/C19</f>
        <v>0.41495823842065299</v>
      </c>
      <c r="E16">
        <v>1062</v>
      </c>
      <c r="F16" s="46">
        <f>E16/E19</f>
        <v>0.55226209048361929</v>
      </c>
      <c r="G16">
        <v>1532</v>
      </c>
      <c r="H16" s="46">
        <f>G16/G19</f>
        <v>0.43696520250998289</v>
      </c>
      <c r="I16">
        <v>1745</v>
      </c>
      <c r="J16" s="46">
        <f>I16/I19</f>
        <v>0.53298717165546727</v>
      </c>
      <c r="K16">
        <v>1478</v>
      </c>
      <c r="L16" s="46">
        <f>K16/K19</f>
        <v>0.46861128725428031</v>
      </c>
      <c r="M16">
        <v>1595</v>
      </c>
      <c r="N16" s="46">
        <f>M16/M19</f>
        <v>0.47203314590115419</v>
      </c>
      <c r="O16">
        <v>1474</v>
      </c>
      <c r="P16" s="46">
        <f>O16/O19</f>
        <v>0.55643639109097776</v>
      </c>
      <c r="Q16">
        <v>4124</v>
      </c>
      <c r="R16" s="46">
        <f>Q16/Q19</f>
        <v>0.54920761752563585</v>
      </c>
    </row>
    <row r="17" spans="1:18">
      <c r="A17" s="47" t="s">
        <v>15</v>
      </c>
      <c r="B17" s="48">
        <v>45505</v>
      </c>
      <c r="C17" s="46">
        <v>3753</v>
      </c>
      <c r="D17" s="46">
        <f>C17/C19</f>
        <v>0.7124145785876993</v>
      </c>
      <c r="E17">
        <v>1582</v>
      </c>
      <c r="F17" s="46">
        <f>E17/E19</f>
        <v>0.8226729069162767</v>
      </c>
      <c r="G17">
        <v>2679</v>
      </c>
      <c r="H17" s="46">
        <f>G17/G19</f>
        <v>0.76411865373645182</v>
      </c>
      <c r="I17">
        <v>2514</v>
      </c>
      <c r="J17" s="46">
        <f>I17/I19</f>
        <v>0.7678680513133781</v>
      </c>
      <c r="K17">
        <v>2447</v>
      </c>
      <c r="L17" s="46">
        <f>K17/K19</f>
        <v>0.7758402029169309</v>
      </c>
      <c r="M17">
        <v>2703</v>
      </c>
      <c r="N17" s="46">
        <f>M17/M19</f>
        <v>0.79994081089079605</v>
      </c>
      <c r="O17">
        <v>2182</v>
      </c>
      <c r="P17" s="46">
        <f>O17/O19</f>
        <v>0.8237070592676482</v>
      </c>
      <c r="Q17">
        <v>6192</v>
      </c>
      <c r="R17" s="46">
        <f>Q17/Q19</f>
        <v>0.82461046743907307</v>
      </c>
    </row>
    <row r="18" spans="1:18">
      <c r="A18" s="49" t="s">
        <v>16</v>
      </c>
      <c r="B18" s="48">
        <v>45292</v>
      </c>
      <c r="C18" s="46">
        <v>4346</v>
      </c>
      <c r="D18" s="46">
        <f>C18/C19</f>
        <v>0.82498101746393315</v>
      </c>
      <c r="E18">
        <v>1718</v>
      </c>
      <c r="F18" s="46">
        <f>E18/E19</f>
        <v>0.89339573582943321</v>
      </c>
      <c r="G18">
        <v>3038</v>
      </c>
      <c r="H18" s="46">
        <f>G18/G19</f>
        <v>0.86651454649172843</v>
      </c>
      <c r="I18">
        <v>2760</v>
      </c>
      <c r="J18" s="46">
        <f>I18/I19</f>
        <v>0.84300549786194257</v>
      </c>
      <c r="K18">
        <v>2728</v>
      </c>
      <c r="L18" s="46">
        <f>K18/K19</f>
        <v>0.86493341788205458</v>
      </c>
      <c r="M18">
        <v>3014</v>
      </c>
      <c r="N18" s="46">
        <f>M18/M19</f>
        <v>0.89197987570287063</v>
      </c>
      <c r="O18">
        <v>2390</v>
      </c>
      <c r="P18" s="46">
        <f>O18/O19</f>
        <v>0.90222725556813888</v>
      </c>
      <c r="Q18">
        <v>6728</v>
      </c>
      <c r="R18" s="46">
        <f>Q18/Q19</f>
        <v>0.8959914768943934</v>
      </c>
    </row>
    <row r="19" spans="1:18">
      <c r="A19" s="47" t="s">
        <v>17</v>
      </c>
      <c r="B19" s="48">
        <v>44927</v>
      </c>
      <c r="C19" s="46">
        <v>5268</v>
      </c>
      <c r="D19" s="46">
        <f>C19/C19</f>
        <v>1</v>
      </c>
      <c r="E19">
        <v>1923</v>
      </c>
      <c r="F19" s="46">
        <f>E19/E19</f>
        <v>1</v>
      </c>
      <c r="G19">
        <v>3506</v>
      </c>
      <c r="H19" s="46">
        <f>G19/G19</f>
        <v>1</v>
      </c>
      <c r="I19">
        <v>3274</v>
      </c>
      <c r="J19" s="46">
        <f>I19/I19</f>
        <v>1</v>
      </c>
      <c r="K19">
        <v>3154</v>
      </c>
      <c r="L19" s="46">
        <f>K19/K19</f>
        <v>1</v>
      </c>
      <c r="M19">
        <v>3379</v>
      </c>
      <c r="N19" s="46">
        <f>M19/M19</f>
        <v>1</v>
      </c>
      <c r="O19">
        <v>2649</v>
      </c>
      <c r="P19" s="46">
        <f>O19/O19</f>
        <v>1</v>
      </c>
      <c r="Q19">
        <v>7509</v>
      </c>
      <c r="R19" s="46">
        <f>Q19/Q19</f>
        <v>1</v>
      </c>
    </row>
    <row r="20" spans="1:18">
      <c r="A20" s="47" t="s">
        <v>112</v>
      </c>
      <c r="B20" s="46"/>
      <c r="C20" s="46"/>
      <c r="D20" s="46"/>
    </row>
    <row r="21" spans="1:18">
      <c r="A21" s="46" t="s">
        <v>113</v>
      </c>
      <c r="B21" s="46"/>
      <c r="C21" s="46">
        <v>900</v>
      </c>
      <c r="D21" s="46"/>
      <c r="E21">
        <v>353</v>
      </c>
      <c r="G21">
        <v>563</v>
      </c>
      <c r="I21">
        <v>982</v>
      </c>
      <c r="K21">
        <v>440</v>
      </c>
      <c r="M21">
        <v>461</v>
      </c>
      <c r="O21">
        <v>389</v>
      </c>
      <c r="Q21">
        <v>1007</v>
      </c>
    </row>
  </sheetData>
  <phoneticPr fontId="24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 (3)</vt:lpstr>
      <vt:lpstr>Sheet1</vt:lpstr>
      <vt:lpstr>離反割合バンド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a920</dc:creator>
  <dc:description/>
  <cp:lastModifiedBy>a920</cp:lastModifiedBy>
  <cp:revision>1</cp:revision>
  <dcterms:created xsi:type="dcterms:W3CDTF">2026-06-30T02:26:37Z</dcterms:created>
  <dcterms:modified xsi:type="dcterms:W3CDTF">2026-06-30T06:45:15Z</dcterms:modified>
  <dc:language>en-US</dc:language>
</cp:coreProperties>
</file>